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hinkpad T450\Downloads\"/>
    </mc:Choice>
  </mc:AlternateContent>
  <xr:revisionPtr revIDLastSave="0" documentId="8_{77208E8C-777E-4689-846B-754C26FA71EF}" xr6:coauthVersionLast="47" xr6:coauthVersionMax="47" xr10:uidLastSave="{00000000-0000-0000-0000-000000000000}"/>
  <bookViews>
    <workbookView xWindow="-120" yWindow="-120" windowWidth="24240" windowHeight="13140" activeTab="6" xr2:uid="{00000000-000D-0000-FFFF-FFFF00000000}"/>
  </bookViews>
  <sheets>
    <sheet name="Kota Bandung" sheetId="1" r:id="rId1"/>
    <sheet name="kota bekasi" sheetId="3" r:id="rId2"/>
    <sheet name="kota bogor" sheetId="4" r:id="rId3"/>
    <sheet name="kota cirebon" sheetId="5" r:id="rId4"/>
    <sheet name="kota depok" sheetId="6" r:id="rId5"/>
    <sheet name="kota sukabumi" sheetId="7" r:id="rId6"/>
    <sheet name="kota tasikmalaya" sheetId="8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>'Kota Bandung'!$A$1:$F$6332</definedName>
    <definedName name="_xlnm.Print_Titles" localSheetId="0">'Kota Bandung'!$1:$1</definedName>
  </definedNames>
  <calcPr calcId="191029"/>
</workbook>
</file>

<file path=xl/calcChain.xml><?xml version="1.0" encoding="utf-8"?>
<calcChain xmlns="http://schemas.openxmlformats.org/spreadsheetml/2006/main">
  <c r="A1" i="8" l="1"/>
  <c r="B1" i="8"/>
  <c r="C1" i="8"/>
  <c r="D1" i="8"/>
  <c r="E1" i="8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1" i="7"/>
  <c r="B1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2" i="7"/>
  <c r="B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3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4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5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6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7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8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1" i="6"/>
  <c r="B1" i="6"/>
  <c r="C1" i="6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2" i="6"/>
  <c r="B2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3" i="6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4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5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6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7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8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1" i="5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2" i="5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6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1" i="4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2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1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2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</calcChain>
</file>

<file path=xl/sharedStrings.xml><?xml version="1.0" encoding="utf-8"?>
<sst xmlns="http://schemas.openxmlformats.org/spreadsheetml/2006/main" count="208" uniqueCount="76">
  <si>
    <t>No</t>
  </si>
  <si>
    <t>Komoditas (Rp)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</si>
  <si>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</si>
  <si>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</si>
  <si>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</si>
  <si>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</si>
  <si>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</si>
  <si>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</si>
  <si>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</si>
  <si>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</si>
  <si>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</si>
  <si>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</si>
  <si>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</si>
  <si>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</si>
  <si>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</si>
  <si>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</si>
  <si>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</si>
  <si>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</si>
  <si>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</si>
  <si>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</si>
  <si>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</si>
  <si>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</si>
  <si>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</si>
  <si>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</si>
  <si>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</si>
  <si>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</si>
  <si>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</si>
  <si>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Beras</t>
  </si>
  <si>
    <t>14,300</t>
  </si>
  <si>
    <t>14,650</t>
  </si>
  <si>
    <t>15,950</t>
  </si>
  <si>
    <t>16,050</t>
  </si>
  <si>
    <t>14,850</t>
  </si>
  <si>
    <t>14,700</t>
  </si>
  <si>
    <t>14,800</t>
  </si>
  <si>
    <t>15,100</t>
  </si>
  <si>
    <t>15,150</t>
  </si>
  <si>
    <t>1</t>
  </si>
  <si>
    <t>Beras Kualitas Bawah I</t>
  </si>
  <si>
    <t>13,700</t>
  </si>
  <si>
    <t>14,000</t>
  </si>
  <si>
    <t>15,000</t>
  </si>
  <si>
    <t>13,750</t>
  </si>
  <si>
    <t>13,650</t>
  </si>
  <si>
    <t>14,150</t>
  </si>
  <si>
    <t>14,250</t>
  </si>
  <si>
    <t>2</t>
  </si>
  <si>
    <t>Beras Kualitas Bawah II</t>
  </si>
  <si>
    <t>13,000</t>
  </si>
  <si>
    <t>13,250</t>
  </si>
  <si>
    <t>14,750</t>
  </si>
  <si>
    <t>13,500</t>
  </si>
  <si>
    <t>13,150</t>
  </si>
  <si>
    <t>3</t>
  </si>
  <si>
    <t>Beras Kualitas Medium I</t>
  </si>
  <si>
    <t>15,250</t>
  </si>
  <si>
    <t>16,500</t>
  </si>
  <si>
    <t>16,650</t>
  </si>
  <si>
    <t>15,750</t>
  </si>
  <si>
    <t>15,500</t>
  </si>
  <si>
    <t>4</t>
  </si>
  <si>
    <t>Beras Kualitas Medium II</t>
  </si>
  <si>
    <t>14,350</t>
  </si>
  <si>
    <t>15,900</t>
  </si>
  <si>
    <t>14,900</t>
  </si>
  <si>
    <t>5</t>
  </si>
  <si>
    <t>Beras Kualitas Super I</t>
  </si>
  <si>
    <t>15,350</t>
  </si>
  <si>
    <t>17,250</t>
  </si>
  <si>
    <t>16,000</t>
  </si>
  <si>
    <t>16,150</t>
  </si>
  <si>
    <t>6</t>
  </si>
  <si>
    <t>Beras Kualitas Super II</t>
  </si>
  <si>
    <t>14,600</t>
  </si>
  <si>
    <t>15,400</t>
  </si>
  <si>
    <t>15,650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</si>
</sst>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%20Harga%20Berdasarkan%20Daerah%20(1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%20Harga%20Berdasarkan%20Daerah%20(1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%20Harga%20Berdasarkan%20Daerah%20(15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%20Harga%20Berdasarkan%20Daerah%20(18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%20Harga%20Berdasarkan%20Daerah%20(19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%20Harga%20Berdasarkan%20Daerah%20(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No</v>
          </cell>
          <cell r="B1" t="str">
            <v>Komoditas (Rp)</v>
          </cell>
          <cell r="C1" t="str">
            <v>01/ 01/ 2024</v>
          </cell>
          <cell r="D1" t="str">
            <v>01/ 02/ 2024</v>
          </cell>
          <cell r="E1" t="str">
            <v>01/ 03/ 2024</v>
          </cell>
          <cell r="F1" t="str">
            <v>01/ 04/ 2024</v>
          </cell>
          <cell r="G1" t="str">
            <v>01/ 05/ 2024</v>
          </cell>
          <cell r="H1" t="str">
            <v>03/ 06/ 2024</v>
          </cell>
          <cell r="I1" t="str">
            <v>01/ 07/ 2024</v>
          </cell>
          <cell r="J1" t="str">
            <v>01/ 08/ 2024</v>
          </cell>
          <cell r="K1" t="str">
            <v>02/ 09/ 2024</v>
          </cell>
          <cell r="L1" t="str">
            <v>01/ 10/ 2024</v>
          </cell>
          <cell r="M1" t="str">
            <v>01/ 11/ 2024</v>
          </cell>
          <cell r="N1" t="str">
            <v>02/ 12/ 2024</v>
          </cell>
          <cell r="O1" t="str">
            <v>01/ 01/ 2025</v>
          </cell>
          <cell r="P1" t="str">
            <v>03/ 02/ 2025</v>
          </cell>
          <cell r="Q1" t="str">
            <v>03/ 03/ 2025</v>
          </cell>
          <cell r="R1" t="str">
            <v>01/ 04/ 2025</v>
          </cell>
          <cell r="S1" t="str">
            <v>01/ 05/ 2025</v>
          </cell>
          <cell r="T1" t="str">
            <v>02/ 06/ 2025</v>
          </cell>
          <cell r="U1" t="str">
            <v>01/ 07/ 2025</v>
          </cell>
          <cell r="V1" t="str">
            <v>01/ 08/ 2025</v>
          </cell>
          <cell r="W1" t="str">
            <v>01/ 09/ 2025</v>
          </cell>
          <cell r="X1" t="str">
            <v>01/ 10/ 2025</v>
          </cell>
          <cell r="Y1" t="str">
            <v>03/ 11/ 2025</v>
          </cell>
          <cell r="Z1" t="str">
            <v>01/ 12/ 2025</v>
          </cell>
        </row>
        <row r="2">
          <cell r="A2" t="str">
            <v>I</v>
          </cell>
          <cell r="B2" t="str">
            <v>Beras</v>
          </cell>
          <cell r="C2" t="str">
            <v>14,200</v>
          </cell>
          <cell r="D2" t="str">
            <v>14,900</v>
          </cell>
          <cell r="E2" t="str">
            <v>15,950</v>
          </cell>
          <cell r="F2" t="str">
            <v>15,800</v>
          </cell>
          <cell r="G2" t="str">
            <v>14,950</v>
          </cell>
          <cell r="H2" t="str">
            <v>14,400</v>
          </cell>
          <cell r="I2" t="str">
            <v>14,650</v>
          </cell>
          <cell r="J2" t="str">
            <v>14,700</v>
          </cell>
          <cell r="K2" t="str">
            <v>14,650</v>
          </cell>
          <cell r="L2" t="str">
            <v>14,650</v>
          </cell>
          <cell r="M2" t="str">
            <v>14,600</v>
          </cell>
          <cell r="N2" t="str">
            <v>14,600</v>
          </cell>
          <cell r="O2" t="str">
            <v>14,850</v>
          </cell>
          <cell r="P2" t="str">
            <v>14,650</v>
          </cell>
          <cell r="Q2" t="str">
            <v>14,450</v>
          </cell>
          <cell r="R2" t="str">
            <v>14,650</v>
          </cell>
          <cell r="S2" t="str">
            <v>14,650</v>
          </cell>
          <cell r="T2" t="str">
            <v>14,650</v>
          </cell>
          <cell r="U2" t="str">
            <v>14,850</v>
          </cell>
          <cell r="V2" t="str">
            <v>14,850</v>
          </cell>
          <cell r="W2" t="str">
            <v>14,850</v>
          </cell>
          <cell r="X2" t="str">
            <v>14,850</v>
          </cell>
          <cell r="Y2" t="str">
            <v>14,750</v>
          </cell>
          <cell r="Z2" t="str">
            <v>14,750</v>
          </cell>
        </row>
        <row r="3">
          <cell r="A3" t="str">
            <v>1</v>
          </cell>
          <cell r="B3" t="str">
            <v>Beras Kualitas Bawah I</v>
          </cell>
          <cell r="C3" t="str">
            <v>13,400</v>
          </cell>
          <cell r="D3" t="str">
            <v>14,100</v>
          </cell>
          <cell r="E3" t="str">
            <v>15,300</v>
          </cell>
          <cell r="F3" t="str">
            <v>14,900</v>
          </cell>
          <cell r="G3" t="str">
            <v>13,950</v>
          </cell>
          <cell r="H3" t="str">
            <v>13,300</v>
          </cell>
          <cell r="I3" t="str">
            <v>13,550</v>
          </cell>
          <cell r="J3" t="str">
            <v>13,650</v>
          </cell>
          <cell r="K3" t="str">
            <v>13,600</v>
          </cell>
          <cell r="L3" t="str">
            <v>13,600</v>
          </cell>
          <cell r="M3" t="str">
            <v>13,600</v>
          </cell>
          <cell r="N3" t="str">
            <v>13,600</v>
          </cell>
          <cell r="O3" t="str">
            <v>13,650</v>
          </cell>
          <cell r="P3" t="str">
            <v>13,650</v>
          </cell>
          <cell r="Q3" t="str">
            <v>13,500</v>
          </cell>
          <cell r="R3" t="str">
            <v>13,600</v>
          </cell>
          <cell r="S3" t="str">
            <v>13,600</v>
          </cell>
          <cell r="T3" t="str">
            <v>13,600</v>
          </cell>
          <cell r="U3" t="str">
            <v>13,950</v>
          </cell>
          <cell r="V3" t="str">
            <v>13,950</v>
          </cell>
          <cell r="W3" t="str">
            <v>13,950</v>
          </cell>
          <cell r="X3" t="str">
            <v>13,950</v>
          </cell>
          <cell r="Y3" t="str">
            <v>13,850</v>
          </cell>
          <cell r="Z3" t="str">
            <v>13,850</v>
          </cell>
        </row>
        <row r="4">
          <cell r="A4" t="str">
            <v>2</v>
          </cell>
          <cell r="B4" t="str">
            <v>Beras Kualitas Bawah II</v>
          </cell>
          <cell r="C4" t="str">
            <v>13,100</v>
          </cell>
          <cell r="D4" t="str">
            <v>13,700</v>
          </cell>
          <cell r="E4" t="str">
            <v>14,800</v>
          </cell>
          <cell r="F4" t="str">
            <v>14,250</v>
          </cell>
          <cell r="G4" t="str">
            <v>13,450</v>
          </cell>
          <cell r="H4" t="str">
            <v>12,650</v>
          </cell>
          <cell r="I4" t="str">
            <v>12,950</v>
          </cell>
          <cell r="J4" t="str">
            <v>13,150</v>
          </cell>
          <cell r="K4" t="str">
            <v>12,950</v>
          </cell>
          <cell r="L4" t="str">
            <v>13,000</v>
          </cell>
          <cell r="M4" t="str">
            <v>12,900</v>
          </cell>
          <cell r="N4" t="str">
            <v>12,900</v>
          </cell>
          <cell r="O4" t="str">
            <v>13,000</v>
          </cell>
          <cell r="P4" t="str">
            <v>13,100</v>
          </cell>
          <cell r="Q4" t="str">
            <v>13,000</v>
          </cell>
          <cell r="R4" t="str">
            <v>13,000</v>
          </cell>
          <cell r="S4" t="str">
            <v>13,000</v>
          </cell>
          <cell r="T4" t="str">
            <v>13,000</v>
          </cell>
          <cell r="U4" t="str">
            <v>13,400</v>
          </cell>
          <cell r="V4" t="str">
            <v>13,400</v>
          </cell>
          <cell r="W4" t="str">
            <v>13,400</v>
          </cell>
          <cell r="X4" t="str">
            <v>13,400</v>
          </cell>
          <cell r="Y4" t="str">
            <v>13,250</v>
          </cell>
          <cell r="Z4" t="str">
            <v>13,250</v>
          </cell>
        </row>
        <row r="5">
          <cell r="A5" t="str">
            <v>3</v>
          </cell>
          <cell r="B5" t="str">
            <v>Beras Kualitas Medium I</v>
          </cell>
          <cell r="C5" t="str">
            <v>14,500</v>
          </cell>
          <cell r="D5" t="str">
            <v>15,300</v>
          </cell>
          <cell r="E5" t="str">
            <v>16,250</v>
          </cell>
          <cell r="F5" t="str">
            <v>16,100</v>
          </cell>
          <cell r="G5" t="str">
            <v>15,350</v>
          </cell>
          <cell r="H5" t="str">
            <v>14,850</v>
          </cell>
          <cell r="I5" t="str">
            <v>15,100</v>
          </cell>
          <cell r="J5" t="str">
            <v>15,150</v>
          </cell>
          <cell r="K5" t="str">
            <v>15,100</v>
          </cell>
          <cell r="L5" t="str">
            <v>15,100</v>
          </cell>
          <cell r="M5" t="str">
            <v>15,100</v>
          </cell>
          <cell r="N5" t="str">
            <v>15,000</v>
          </cell>
          <cell r="O5" t="str">
            <v>15,500</v>
          </cell>
          <cell r="P5" t="str">
            <v>15,100</v>
          </cell>
          <cell r="Q5" t="str">
            <v>15,000</v>
          </cell>
          <cell r="R5" t="str">
            <v>15,000</v>
          </cell>
          <cell r="S5" t="str">
            <v>15,000</v>
          </cell>
          <cell r="T5" t="str">
            <v>15,000</v>
          </cell>
          <cell r="U5" t="str">
            <v>15,150</v>
          </cell>
          <cell r="V5" t="str">
            <v>15,150</v>
          </cell>
          <cell r="W5" t="str">
            <v>15,150</v>
          </cell>
          <cell r="X5" t="str">
            <v>15,150</v>
          </cell>
          <cell r="Y5" t="str">
            <v>14,950</v>
          </cell>
          <cell r="Z5" t="str">
            <v>14,950</v>
          </cell>
        </row>
        <row r="6">
          <cell r="A6" t="str">
            <v>4</v>
          </cell>
          <cell r="B6" t="str">
            <v>Beras Kualitas Medium II</v>
          </cell>
          <cell r="C6" t="str">
            <v>13,900</v>
          </cell>
          <cell r="D6" t="str">
            <v>14,700</v>
          </cell>
          <cell r="E6" t="str">
            <v>15,700</v>
          </cell>
          <cell r="F6" t="str">
            <v>15,450</v>
          </cell>
          <cell r="G6" t="str">
            <v>14,500</v>
          </cell>
          <cell r="H6" t="str">
            <v>14,050</v>
          </cell>
          <cell r="I6" t="str">
            <v>14,300</v>
          </cell>
          <cell r="J6" t="str">
            <v>14,350</v>
          </cell>
          <cell r="K6" t="str">
            <v>14,250</v>
          </cell>
          <cell r="L6" t="str">
            <v>14,250</v>
          </cell>
          <cell r="M6" t="str">
            <v>14,250</v>
          </cell>
          <cell r="N6" t="str">
            <v>14,200</v>
          </cell>
          <cell r="O6" t="str">
            <v>14,400</v>
          </cell>
          <cell r="P6" t="str">
            <v>14,300</v>
          </cell>
          <cell r="Q6" t="str">
            <v>14,250</v>
          </cell>
          <cell r="R6" t="str">
            <v>14,200</v>
          </cell>
          <cell r="S6" t="str">
            <v>14,200</v>
          </cell>
          <cell r="T6" t="str">
            <v>14,200</v>
          </cell>
          <cell r="U6" t="str">
            <v>14,350</v>
          </cell>
          <cell r="V6" t="str">
            <v>14,350</v>
          </cell>
          <cell r="W6" t="str">
            <v>14,350</v>
          </cell>
          <cell r="X6" t="str">
            <v>14,350</v>
          </cell>
          <cell r="Y6" t="str">
            <v>14,150</v>
          </cell>
          <cell r="Z6" t="str">
            <v>14,150</v>
          </cell>
        </row>
        <row r="7">
          <cell r="A7" t="str">
            <v>5</v>
          </cell>
          <cell r="B7" t="str">
            <v>Beras Kualitas Super I</v>
          </cell>
          <cell r="C7" t="str">
            <v>15,500</v>
          </cell>
          <cell r="D7" t="str">
            <v>16,300</v>
          </cell>
          <cell r="E7" t="str">
            <v>17,400</v>
          </cell>
          <cell r="F7" t="str">
            <v>17,500</v>
          </cell>
          <cell r="G7" t="str">
            <v>16,850</v>
          </cell>
          <cell r="H7" t="str">
            <v>16,450</v>
          </cell>
          <cell r="I7" t="str">
            <v>16,600</v>
          </cell>
          <cell r="J7" t="str">
            <v>16,600</v>
          </cell>
          <cell r="K7" t="str">
            <v>16,650</v>
          </cell>
          <cell r="L7" t="str">
            <v>16,600</v>
          </cell>
          <cell r="M7" t="str">
            <v>16,600</v>
          </cell>
          <cell r="N7" t="str">
            <v>16,550</v>
          </cell>
          <cell r="O7" t="str">
            <v>17,150</v>
          </cell>
          <cell r="P7" t="str">
            <v>16,600</v>
          </cell>
          <cell r="Q7" t="str">
            <v>15,900</v>
          </cell>
          <cell r="R7" t="str">
            <v>16,700</v>
          </cell>
          <cell r="S7" t="str">
            <v>16,700</v>
          </cell>
          <cell r="T7" t="str">
            <v>16,700</v>
          </cell>
          <cell r="U7" t="str">
            <v>16,800</v>
          </cell>
          <cell r="V7" t="str">
            <v>16,800</v>
          </cell>
          <cell r="W7" t="str">
            <v>16,800</v>
          </cell>
          <cell r="X7" t="str">
            <v>16,800</v>
          </cell>
          <cell r="Y7" t="str">
            <v>16,800</v>
          </cell>
          <cell r="Z7" t="str">
            <v>16,800</v>
          </cell>
        </row>
        <row r="8">
          <cell r="A8" t="str">
            <v>6</v>
          </cell>
          <cell r="B8" t="str">
            <v>Beras Kualitas Super II</v>
          </cell>
          <cell r="C8" t="str">
            <v>14,600</v>
          </cell>
          <cell r="D8" t="str">
            <v>15,400</v>
          </cell>
          <cell r="E8" t="str">
            <v>16,400</v>
          </cell>
          <cell r="F8" t="str">
            <v>16,400</v>
          </cell>
          <cell r="G8" t="str">
            <v>15,650</v>
          </cell>
          <cell r="H8" t="str">
            <v>15,100</v>
          </cell>
          <cell r="I8" t="str">
            <v>15,350</v>
          </cell>
          <cell r="J8" t="str">
            <v>15,350</v>
          </cell>
          <cell r="K8" t="str">
            <v>15,200</v>
          </cell>
          <cell r="L8" t="str">
            <v>15,250</v>
          </cell>
          <cell r="M8" t="str">
            <v>15,250</v>
          </cell>
          <cell r="N8" t="str">
            <v>15,250</v>
          </cell>
          <cell r="O8" t="str">
            <v>15,250</v>
          </cell>
          <cell r="P8" t="str">
            <v>15,200</v>
          </cell>
          <cell r="Q8" t="str">
            <v>15,100</v>
          </cell>
          <cell r="R8" t="str">
            <v>15,350</v>
          </cell>
          <cell r="S8" t="str">
            <v>15,350</v>
          </cell>
          <cell r="T8" t="str">
            <v>15,350</v>
          </cell>
          <cell r="U8" t="str">
            <v>15,450</v>
          </cell>
          <cell r="V8" t="str">
            <v>15,450</v>
          </cell>
          <cell r="W8" t="str">
            <v>15,450</v>
          </cell>
          <cell r="X8" t="str">
            <v>15,450</v>
          </cell>
          <cell r="Y8" t="str">
            <v>15,450</v>
          </cell>
          <cell r="Z8" t="str">
            <v>15,450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No</v>
          </cell>
          <cell r="B1" t="str">
            <v>Komoditas (Rp)</v>
          </cell>
          <cell r="C1" t="str">
            <v>01/ 01/ 2024</v>
          </cell>
          <cell r="D1" t="str">
            <v>01/ 02/ 2024</v>
          </cell>
          <cell r="E1" t="str">
            <v>01/ 03/ 2024</v>
          </cell>
          <cell r="F1" t="str">
            <v>01/ 04/ 2024</v>
          </cell>
          <cell r="G1" t="str">
            <v>01/ 05/ 2024</v>
          </cell>
          <cell r="H1" t="str">
            <v>03/ 06/ 2024</v>
          </cell>
          <cell r="I1" t="str">
            <v>01/ 07/ 2024</v>
          </cell>
          <cell r="J1" t="str">
            <v>01/ 08/ 2024</v>
          </cell>
          <cell r="K1" t="str">
            <v>02/ 09/ 2024</v>
          </cell>
          <cell r="L1" t="str">
            <v>01/ 10/ 2024</v>
          </cell>
          <cell r="M1" t="str">
            <v>01/ 11/ 2024</v>
          </cell>
          <cell r="N1" t="str">
            <v>02/ 12/ 2024</v>
          </cell>
          <cell r="O1" t="str">
            <v>01/ 01/ 2025</v>
          </cell>
          <cell r="P1" t="str">
            <v>03/ 02/ 2025</v>
          </cell>
          <cell r="Q1" t="str">
            <v>03/ 03/ 2025</v>
          </cell>
          <cell r="R1" t="str">
            <v>01/ 04/ 2025</v>
          </cell>
          <cell r="S1" t="str">
            <v>01/ 05/ 2025</v>
          </cell>
          <cell r="T1" t="str">
            <v>02/ 06/ 2025</v>
          </cell>
          <cell r="U1" t="str">
            <v>01/ 07/ 2025</v>
          </cell>
          <cell r="V1" t="str">
            <v>01/ 08/ 2025</v>
          </cell>
          <cell r="W1" t="str">
            <v>01/ 09/ 2025</v>
          </cell>
          <cell r="X1" t="str">
            <v>01/ 10/ 2025</v>
          </cell>
          <cell r="Y1" t="str">
            <v>03/ 11/ 2025</v>
          </cell>
          <cell r="Z1" t="str">
            <v>01/ 12/ 2025</v>
          </cell>
        </row>
        <row r="2">
          <cell r="A2" t="str">
            <v>I</v>
          </cell>
          <cell r="B2" t="str">
            <v>Beras</v>
          </cell>
          <cell r="C2" t="str">
            <v>14,500</v>
          </cell>
          <cell r="D2" t="str">
            <v>15,100</v>
          </cell>
          <cell r="E2" t="str">
            <v>16,200</v>
          </cell>
          <cell r="F2" t="str">
            <v>15,900</v>
          </cell>
          <cell r="G2" t="str">
            <v>15,000</v>
          </cell>
          <cell r="H2" t="str">
            <v>14,600</v>
          </cell>
          <cell r="I2" t="str">
            <v>14,800</v>
          </cell>
          <cell r="J2" t="str">
            <v>14,850</v>
          </cell>
          <cell r="K2" t="str">
            <v>14,800</v>
          </cell>
          <cell r="L2" t="str">
            <v>14,800</v>
          </cell>
          <cell r="M2" t="str">
            <v>14,750</v>
          </cell>
          <cell r="N2" t="str">
            <v>14,800</v>
          </cell>
          <cell r="O2" t="str">
            <v>15,200</v>
          </cell>
          <cell r="P2" t="str">
            <v>14,850</v>
          </cell>
          <cell r="Q2" t="str">
            <v>14,800</v>
          </cell>
          <cell r="R2" t="str">
            <v>14,850</v>
          </cell>
          <cell r="S2" t="str">
            <v>14,850</v>
          </cell>
          <cell r="T2" t="str">
            <v>14,850</v>
          </cell>
          <cell r="U2" t="str">
            <v>15,050</v>
          </cell>
          <cell r="V2" t="str">
            <v>15,100</v>
          </cell>
          <cell r="W2" t="str">
            <v>15,150</v>
          </cell>
          <cell r="X2" t="str">
            <v>15,200</v>
          </cell>
          <cell r="Y2" t="str">
            <v>15,150</v>
          </cell>
          <cell r="Z2" t="str">
            <v>15,100</v>
          </cell>
        </row>
        <row r="3">
          <cell r="A3" t="str">
            <v>1</v>
          </cell>
          <cell r="B3" t="str">
            <v>Beras Kualitas Bawah I</v>
          </cell>
          <cell r="C3" t="str">
            <v>13,450</v>
          </cell>
          <cell r="D3" t="str">
            <v>14,150</v>
          </cell>
          <cell r="E3" t="str">
            <v>15,300</v>
          </cell>
          <cell r="F3" t="str">
            <v>14,850</v>
          </cell>
          <cell r="G3" t="str">
            <v>13,900</v>
          </cell>
          <cell r="H3" t="str">
            <v>13,500</v>
          </cell>
          <cell r="I3" t="str">
            <v>13,750</v>
          </cell>
          <cell r="J3" t="str">
            <v>13,800</v>
          </cell>
          <cell r="K3" t="str">
            <v>13,750</v>
          </cell>
          <cell r="L3" t="str">
            <v>13,750</v>
          </cell>
          <cell r="M3" t="str">
            <v>13,750</v>
          </cell>
          <cell r="N3" t="str">
            <v>13,750</v>
          </cell>
          <cell r="O3" t="str">
            <v>13,950</v>
          </cell>
          <cell r="P3" t="str">
            <v>13,800</v>
          </cell>
          <cell r="Q3" t="str">
            <v>13,750</v>
          </cell>
          <cell r="R3" t="str">
            <v>13,850</v>
          </cell>
          <cell r="S3" t="str">
            <v>13,850</v>
          </cell>
          <cell r="T3" t="str">
            <v>13,850</v>
          </cell>
          <cell r="U3" t="str">
            <v>13,950</v>
          </cell>
          <cell r="V3" t="str">
            <v>13,950</v>
          </cell>
          <cell r="W3" t="str">
            <v>14,150</v>
          </cell>
          <cell r="X3" t="str">
            <v>14,150</v>
          </cell>
          <cell r="Y3" t="str">
            <v>14,050</v>
          </cell>
          <cell r="Z3" t="str">
            <v>13,950</v>
          </cell>
        </row>
        <row r="4">
          <cell r="A4" t="str">
            <v>2</v>
          </cell>
          <cell r="B4" t="str">
            <v>Beras Kualitas Bawah II</v>
          </cell>
          <cell r="C4" t="str">
            <v>13,000</v>
          </cell>
          <cell r="D4" t="str">
            <v>13,550</v>
          </cell>
          <cell r="E4" t="str">
            <v>14,800</v>
          </cell>
          <cell r="F4" t="str">
            <v>14,200</v>
          </cell>
          <cell r="G4" t="str">
            <v>13,250</v>
          </cell>
          <cell r="H4" t="str">
            <v>12,750</v>
          </cell>
          <cell r="I4" t="str">
            <v>13,050</v>
          </cell>
          <cell r="J4" t="str">
            <v>13,150</v>
          </cell>
          <cell r="K4" t="str">
            <v>13,000</v>
          </cell>
          <cell r="L4" t="str">
            <v>13,050</v>
          </cell>
          <cell r="M4" t="str">
            <v>12,900</v>
          </cell>
          <cell r="N4" t="str">
            <v>12,900</v>
          </cell>
          <cell r="O4" t="str">
            <v>13,000</v>
          </cell>
          <cell r="P4" t="str">
            <v>13,100</v>
          </cell>
          <cell r="Q4" t="str">
            <v>13,000</v>
          </cell>
          <cell r="R4" t="str">
            <v>13,200</v>
          </cell>
          <cell r="S4" t="str">
            <v>13,200</v>
          </cell>
          <cell r="T4" t="str">
            <v>13,250</v>
          </cell>
          <cell r="U4" t="str">
            <v>13,450</v>
          </cell>
          <cell r="V4" t="str">
            <v>13,450</v>
          </cell>
          <cell r="W4" t="str">
            <v>13,500</v>
          </cell>
          <cell r="X4" t="str">
            <v>13,550</v>
          </cell>
          <cell r="Y4" t="str">
            <v>13,400</v>
          </cell>
          <cell r="Z4" t="str">
            <v>13,350</v>
          </cell>
        </row>
        <row r="5">
          <cell r="A5" t="str">
            <v>3</v>
          </cell>
          <cell r="B5" t="str">
            <v>Beras Kualitas Medium I</v>
          </cell>
          <cell r="C5" t="str">
            <v>14,700</v>
          </cell>
          <cell r="D5" t="str">
            <v>15,250</v>
          </cell>
          <cell r="E5" t="str">
            <v>16,400</v>
          </cell>
          <cell r="F5" t="str">
            <v>16,250</v>
          </cell>
          <cell r="G5" t="str">
            <v>15,300</v>
          </cell>
          <cell r="H5" t="str">
            <v>14,900</v>
          </cell>
          <cell r="I5" t="str">
            <v>15,150</v>
          </cell>
          <cell r="J5" t="str">
            <v>15,150</v>
          </cell>
          <cell r="K5" t="str">
            <v>15,100</v>
          </cell>
          <cell r="L5" t="str">
            <v>15,100</v>
          </cell>
          <cell r="M5" t="str">
            <v>15,100</v>
          </cell>
          <cell r="N5" t="str">
            <v>15,100</v>
          </cell>
          <cell r="O5" t="str">
            <v>15,650</v>
          </cell>
          <cell r="P5" t="str">
            <v>15,150</v>
          </cell>
          <cell r="Q5" t="str">
            <v>15,100</v>
          </cell>
          <cell r="R5" t="str">
            <v>15,100</v>
          </cell>
          <cell r="S5" t="str">
            <v>15,100</v>
          </cell>
          <cell r="T5" t="str">
            <v>15,100</v>
          </cell>
          <cell r="U5" t="str">
            <v>15,300</v>
          </cell>
          <cell r="V5" t="str">
            <v>15,300</v>
          </cell>
          <cell r="W5" t="str">
            <v>15,300</v>
          </cell>
          <cell r="X5" t="str">
            <v>15,350</v>
          </cell>
          <cell r="Y5" t="str">
            <v>15,350</v>
          </cell>
          <cell r="Z5" t="str">
            <v>15,350</v>
          </cell>
        </row>
        <row r="6">
          <cell r="A6" t="str">
            <v>4</v>
          </cell>
          <cell r="B6" t="str">
            <v>Beras Kualitas Medium II</v>
          </cell>
          <cell r="C6" t="str">
            <v>14,050</v>
          </cell>
          <cell r="D6" t="str">
            <v>14,750</v>
          </cell>
          <cell r="E6" t="str">
            <v>15,950</v>
          </cell>
          <cell r="F6" t="str">
            <v>15,600</v>
          </cell>
          <cell r="G6" t="str">
            <v>14,500</v>
          </cell>
          <cell r="H6" t="str">
            <v>14,200</v>
          </cell>
          <cell r="I6" t="str">
            <v>14,450</v>
          </cell>
          <cell r="J6" t="str">
            <v>14,450</v>
          </cell>
          <cell r="K6" t="str">
            <v>14,400</v>
          </cell>
          <cell r="L6" t="str">
            <v>14,400</v>
          </cell>
          <cell r="M6" t="str">
            <v>14,400</v>
          </cell>
          <cell r="N6" t="str">
            <v>14,400</v>
          </cell>
          <cell r="O6" t="str">
            <v>14,750</v>
          </cell>
          <cell r="P6" t="str">
            <v>14,450</v>
          </cell>
          <cell r="Q6" t="str">
            <v>14,400</v>
          </cell>
          <cell r="R6" t="str">
            <v>14,400</v>
          </cell>
          <cell r="S6" t="str">
            <v>14,400</v>
          </cell>
          <cell r="T6" t="str">
            <v>14,400</v>
          </cell>
          <cell r="U6" t="str">
            <v>14,600</v>
          </cell>
          <cell r="V6" t="str">
            <v>14,600</v>
          </cell>
          <cell r="W6" t="str">
            <v>14,600</v>
          </cell>
          <cell r="X6" t="str">
            <v>14,700</v>
          </cell>
          <cell r="Y6" t="str">
            <v>14,650</v>
          </cell>
          <cell r="Z6" t="str">
            <v>14,600</v>
          </cell>
        </row>
        <row r="7">
          <cell r="A7" t="str">
            <v>5</v>
          </cell>
          <cell r="B7" t="str">
            <v>Beras Kualitas Super I</v>
          </cell>
          <cell r="C7" t="str">
            <v>16,100</v>
          </cell>
          <cell r="D7" t="str">
            <v>16,700</v>
          </cell>
          <cell r="E7" t="str">
            <v>17,700</v>
          </cell>
          <cell r="F7" t="str">
            <v>17,500</v>
          </cell>
          <cell r="G7" t="str">
            <v>16,750</v>
          </cell>
          <cell r="H7" t="str">
            <v>16,400</v>
          </cell>
          <cell r="I7" t="str">
            <v>16,500</v>
          </cell>
          <cell r="J7" t="str">
            <v>16,500</v>
          </cell>
          <cell r="K7" t="str">
            <v>16,600</v>
          </cell>
          <cell r="L7" t="str">
            <v>16,500</v>
          </cell>
          <cell r="M7" t="str">
            <v>16,500</v>
          </cell>
          <cell r="N7" t="str">
            <v>16,500</v>
          </cell>
          <cell r="O7" t="str">
            <v>17,100</v>
          </cell>
          <cell r="P7" t="str">
            <v>16,550</v>
          </cell>
          <cell r="Q7" t="str">
            <v>16,550</v>
          </cell>
          <cell r="R7" t="str">
            <v>16,550</v>
          </cell>
          <cell r="S7" t="str">
            <v>16,550</v>
          </cell>
          <cell r="T7" t="str">
            <v>16,600</v>
          </cell>
          <cell r="U7" t="str">
            <v>16,800</v>
          </cell>
          <cell r="V7" t="str">
            <v>17,050</v>
          </cell>
          <cell r="W7" t="str">
            <v>17,050</v>
          </cell>
          <cell r="X7" t="str">
            <v>17,150</v>
          </cell>
          <cell r="Y7" t="str">
            <v>17,150</v>
          </cell>
          <cell r="Z7" t="str">
            <v>17,150</v>
          </cell>
        </row>
        <row r="8">
          <cell r="A8" t="str">
            <v>6</v>
          </cell>
          <cell r="B8" t="str">
            <v>Beras Kualitas Super II</v>
          </cell>
          <cell r="C8" t="str">
            <v>15,500</v>
          </cell>
          <cell r="D8" t="str">
            <v>16,150</v>
          </cell>
          <cell r="E8" t="str">
            <v>17,150</v>
          </cell>
          <cell r="F8" t="str">
            <v>16,950</v>
          </cell>
          <cell r="G8" t="str">
            <v>16,200</v>
          </cell>
          <cell r="H8" t="str">
            <v>15,700</v>
          </cell>
          <cell r="I8" t="str">
            <v>15,950</v>
          </cell>
          <cell r="J8" t="str">
            <v>15,950</v>
          </cell>
          <cell r="K8" t="str">
            <v>15,850</v>
          </cell>
          <cell r="L8" t="str">
            <v>15,900</v>
          </cell>
          <cell r="M8" t="str">
            <v>15,900</v>
          </cell>
          <cell r="N8" t="str">
            <v>15,950</v>
          </cell>
          <cell r="O8" t="str">
            <v>16,650</v>
          </cell>
          <cell r="P8" t="str">
            <v>15,900</v>
          </cell>
          <cell r="Q8" t="str">
            <v>15,900</v>
          </cell>
          <cell r="R8" t="str">
            <v>15,900</v>
          </cell>
          <cell r="S8" t="str">
            <v>15,900</v>
          </cell>
          <cell r="T8" t="str">
            <v>15,900</v>
          </cell>
          <cell r="U8" t="str">
            <v>16,150</v>
          </cell>
          <cell r="V8" t="str">
            <v>16,300</v>
          </cell>
          <cell r="W8" t="str">
            <v>16,300</v>
          </cell>
          <cell r="X8" t="str">
            <v>16,300</v>
          </cell>
          <cell r="Y8" t="str">
            <v>16,300</v>
          </cell>
          <cell r="Z8" t="str">
            <v>16,300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No</v>
          </cell>
          <cell r="B1" t="str">
            <v>Komoditas (Rp)</v>
          </cell>
          <cell r="C1" t="str">
            <v>01/ 01/ 2024</v>
          </cell>
          <cell r="D1" t="str">
            <v>01/ 02/ 2024</v>
          </cell>
          <cell r="E1" t="str">
            <v>01/ 03/ 2024</v>
          </cell>
          <cell r="F1" t="str">
            <v>01/ 04/ 2024</v>
          </cell>
          <cell r="G1" t="str">
            <v>01/ 05/ 2024</v>
          </cell>
          <cell r="H1" t="str">
            <v>03/ 06/ 2024</v>
          </cell>
          <cell r="I1" t="str">
            <v>01/ 07/ 2024</v>
          </cell>
          <cell r="J1" t="str">
            <v>01/ 08/ 2024</v>
          </cell>
          <cell r="K1" t="str">
            <v>02/ 09/ 2024</v>
          </cell>
          <cell r="L1" t="str">
            <v>01/ 10/ 2024</v>
          </cell>
          <cell r="M1" t="str">
            <v>01/ 11/ 2024</v>
          </cell>
          <cell r="N1" t="str">
            <v>02/ 12/ 2024</v>
          </cell>
          <cell r="O1" t="str">
            <v>01/ 01/ 2025</v>
          </cell>
          <cell r="P1" t="str">
            <v>03/ 02/ 2025</v>
          </cell>
          <cell r="Q1" t="str">
            <v>03/ 03/ 2025</v>
          </cell>
          <cell r="R1" t="str">
            <v>01/ 04/ 2025</v>
          </cell>
          <cell r="S1" t="str">
            <v>01/ 05/ 2025</v>
          </cell>
          <cell r="T1" t="str">
            <v>02/ 06/ 2025</v>
          </cell>
          <cell r="U1" t="str">
            <v>01/ 07/ 2025</v>
          </cell>
          <cell r="V1" t="str">
            <v>01/ 08/ 2025</v>
          </cell>
          <cell r="W1" t="str">
            <v>01/ 09/ 2025</v>
          </cell>
          <cell r="X1" t="str">
            <v>01/ 10/ 2025</v>
          </cell>
          <cell r="Y1" t="str">
            <v>03/ 11/ 2025</v>
          </cell>
          <cell r="Z1" t="str">
            <v>01/ 12/ 2025</v>
          </cell>
        </row>
        <row r="2">
          <cell r="A2" t="str">
            <v>I</v>
          </cell>
          <cell r="B2" t="str">
            <v>Beras</v>
          </cell>
          <cell r="C2" t="str">
            <v>13,850</v>
          </cell>
          <cell r="D2" t="str">
            <v>14,900</v>
          </cell>
          <cell r="E2" t="str">
            <v>16,100</v>
          </cell>
          <cell r="F2" t="str">
            <v>15,900</v>
          </cell>
          <cell r="G2" t="str">
            <v>14,950</v>
          </cell>
          <cell r="H2" t="str">
            <v>14,350</v>
          </cell>
          <cell r="I2" t="str">
            <v>14,550</v>
          </cell>
          <cell r="J2" t="str">
            <v>14,500</v>
          </cell>
          <cell r="K2" t="str">
            <v>14,450</v>
          </cell>
          <cell r="L2" t="str">
            <v>14,450</v>
          </cell>
          <cell r="M2" t="str">
            <v>14,400</v>
          </cell>
          <cell r="N2" t="str">
            <v>14,450</v>
          </cell>
          <cell r="O2" t="str">
            <v>14,600</v>
          </cell>
          <cell r="P2" t="str">
            <v>14,550</v>
          </cell>
          <cell r="Q2" t="str">
            <v>14,500</v>
          </cell>
          <cell r="R2" t="str">
            <v>14,500</v>
          </cell>
          <cell r="S2" t="str">
            <v>14,500</v>
          </cell>
          <cell r="T2" t="str">
            <v>14,500</v>
          </cell>
          <cell r="U2" t="str">
            <v>14,650</v>
          </cell>
          <cell r="V2" t="str">
            <v>14,650</v>
          </cell>
          <cell r="W2" t="str">
            <v>14,650</v>
          </cell>
          <cell r="X2" t="str">
            <v>14,650</v>
          </cell>
          <cell r="Y2" t="str">
            <v>14,650</v>
          </cell>
          <cell r="Z2" t="str">
            <v>14,650</v>
          </cell>
        </row>
        <row r="3">
          <cell r="A3" t="str">
            <v>1</v>
          </cell>
          <cell r="B3" t="str">
            <v>Beras Kualitas Bawah I</v>
          </cell>
          <cell r="C3" t="str">
            <v>13,200</v>
          </cell>
          <cell r="D3" t="str">
            <v>14,250</v>
          </cell>
          <cell r="E3" t="str">
            <v>15,450</v>
          </cell>
          <cell r="F3" t="str">
            <v>15,150</v>
          </cell>
          <cell r="G3" t="str">
            <v>14,100</v>
          </cell>
          <cell r="H3" t="str">
            <v>13,550</v>
          </cell>
          <cell r="I3" t="str">
            <v>13,800</v>
          </cell>
          <cell r="J3" t="str">
            <v>13,700</v>
          </cell>
          <cell r="K3" t="str">
            <v>13,650</v>
          </cell>
          <cell r="L3" t="str">
            <v>13,650</v>
          </cell>
          <cell r="M3" t="str">
            <v>13,650</v>
          </cell>
          <cell r="N3" t="str">
            <v>13,650</v>
          </cell>
          <cell r="O3" t="str">
            <v>13,750</v>
          </cell>
          <cell r="P3" t="str">
            <v>13,700</v>
          </cell>
          <cell r="Q3" t="str">
            <v>13,700</v>
          </cell>
          <cell r="R3" t="str">
            <v>13,700</v>
          </cell>
          <cell r="S3" t="str">
            <v>13,700</v>
          </cell>
          <cell r="T3" t="str">
            <v>13,700</v>
          </cell>
          <cell r="U3" t="str">
            <v>13,850</v>
          </cell>
          <cell r="V3" t="str">
            <v>13,850</v>
          </cell>
          <cell r="W3" t="str">
            <v>13,850</v>
          </cell>
          <cell r="X3" t="str">
            <v>13,850</v>
          </cell>
          <cell r="Y3" t="str">
            <v>13,850</v>
          </cell>
          <cell r="Z3" t="str">
            <v>13,850</v>
          </cell>
        </row>
        <row r="4">
          <cell r="A4" t="str">
            <v>2</v>
          </cell>
          <cell r="B4" t="str">
            <v>Beras Kualitas Bawah II</v>
          </cell>
          <cell r="C4" t="str">
            <v>12,900</v>
          </cell>
          <cell r="D4" t="str">
            <v>13,850</v>
          </cell>
          <cell r="E4" t="str">
            <v>15,100</v>
          </cell>
          <cell r="F4" t="str">
            <v>14,600</v>
          </cell>
          <cell r="G4" t="str">
            <v>13,500</v>
          </cell>
          <cell r="H4" t="str">
            <v>12,750</v>
          </cell>
          <cell r="I4" t="str">
            <v>13,100</v>
          </cell>
          <cell r="J4" t="str">
            <v>13,000</v>
          </cell>
          <cell r="K4" t="str">
            <v>12,900</v>
          </cell>
          <cell r="L4" t="str">
            <v>12,950</v>
          </cell>
          <cell r="M4" t="str">
            <v>12,750</v>
          </cell>
          <cell r="N4" t="str">
            <v>12,750</v>
          </cell>
          <cell r="O4" t="str">
            <v>12,900</v>
          </cell>
          <cell r="P4" t="str">
            <v>13,050</v>
          </cell>
          <cell r="Q4" t="str">
            <v>13,100</v>
          </cell>
          <cell r="R4" t="str">
            <v>13,100</v>
          </cell>
          <cell r="S4" t="str">
            <v>13,100</v>
          </cell>
          <cell r="T4" t="str">
            <v>13,100</v>
          </cell>
          <cell r="U4" t="str">
            <v>13,200</v>
          </cell>
          <cell r="V4" t="str">
            <v>13,200</v>
          </cell>
          <cell r="W4" t="str">
            <v>13,350</v>
          </cell>
          <cell r="X4" t="str">
            <v>13,350</v>
          </cell>
          <cell r="Y4" t="str">
            <v>13,350</v>
          </cell>
          <cell r="Z4" t="str">
            <v>13,350</v>
          </cell>
        </row>
        <row r="5">
          <cell r="A5" t="str">
            <v>3</v>
          </cell>
          <cell r="B5" t="str">
            <v>Beras Kualitas Medium I</v>
          </cell>
          <cell r="C5" t="str">
            <v>14,150</v>
          </cell>
          <cell r="D5" t="str">
            <v>15,100</v>
          </cell>
          <cell r="E5" t="str">
            <v>16,250</v>
          </cell>
          <cell r="F5" t="str">
            <v>16,100</v>
          </cell>
          <cell r="G5" t="str">
            <v>15,200</v>
          </cell>
          <cell r="H5" t="str">
            <v>14,650</v>
          </cell>
          <cell r="I5" t="str">
            <v>14,900</v>
          </cell>
          <cell r="J5" t="str">
            <v>14,850</v>
          </cell>
          <cell r="K5" t="str">
            <v>14,750</v>
          </cell>
          <cell r="L5" t="str">
            <v>14,750</v>
          </cell>
          <cell r="M5" t="str">
            <v>14,750</v>
          </cell>
          <cell r="N5" t="str">
            <v>14,750</v>
          </cell>
          <cell r="O5" t="str">
            <v>15,000</v>
          </cell>
          <cell r="P5" t="str">
            <v>14,850</v>
          </cell>
          <cell r="Q5" t="str">
            <v>14,750</v>
          </cell>
          <cell r="R5" t="str">
            <v>14,750</v>
          </cell>
          <cell r="S5" t="str">
            <v>14,750</v>
          </cell>
          <cell r="T5" t="str">
            <v>14,750</v>
          </cell>
          <cell r="U5" t="str">
            <v>14,900</v>
          </cell>
          <cell r="V5" t="str">
            <v>14,900</v>
          </cell>
          <cell r="W5" t="str">
            <v>14,900</v>
          </cell>
          <cell r="X5" t="str">
            <v>14,900</v>
          </cell>
          <cell r="Y5" t="str">
            <v>14,900</v>
          </cell>
          <cell r="Z5" t="str">
            <v>14,900</v>
          </cell>
        </row>
        <row r="6">
          <cell r="A6" t="str">
            <v>4</v>
          </cell>
          <cell r="B6" t="str">
            <v>Beras Kualitas Medium II</v>
          </cell>
          <cell r="C6" t="str">
            <v>13,600</v>
          </cell>
          <cell r="D6" t="str">
            <v>14,650</v>
          </cell>
          <cell r="E6" t="str">
            <v>16,000</v>
          </cell>
          <cell r="F6" t="str">
            <v>15,750</v>
          </cell>
          <cell r="G6" t="str">
            <v>14,650</v>
          </cell>
          <cell r="H6" t="str">
            <v>14,100</v>
          </cell>
          <cell r="I6" t="str">
            <v>14,350</v>
          </cell>
          <cell r="J6" t="str">
            <v>14,300</v>
          </cell>
          <cell r="K6" t="str">
            <v>14,200</v>
          </cell>
          <cell r="L6" t="str">
            <v>14,200</v>
          </cell>
          <cell r="M6" t="str">
            <v>14,200</v>
          </cell>
          <cell r="N6" t="str">
            <v>14,200</v>
          </cell>
          <cell r="O6" t="str">
            <v>14,400</v>
          </cell>
          <cell r="P6" t="str">
            <v>14,300</v>
          </cell>
          <cell r="Q6" t="str">
            <v>14,150</v>
          </cell>
          <cell r="R6" t="str">
            <v>14,150</v>
          </cell>
          <cell r="S6" t="str">
            <v>14,150</v>
          </cell>
          <cell r="T6" t="str">
            <v>14,200</v>
          </cell>
          <cell r="U6" t="str">
            <v>14,350</v>
          </cell>
          <cell r="V6" t="str">
            <v>14,350</v>
          </cell>
          <cell r="W6" t="str">
            <v>14,350</v>
          </cell>
          <cell r="X6" t="str">
            <v>14,350</v>
          </cell>
          <cell r="Y6" t="str">
            <v>14,350</v>
          </cell>
          <cell r="Z6" t="str">
            <v>14,350</v>
          </cell>
        </row>
        <row r="7">
          <cell r="A7" t="str">
            <v>5</v>
          </cell>
          <cell r="B7" t="str">
            <v>Beras Kualitas Super I</v>
          </cell>
          <cell r="C7" t="str">
            <v>14,900</v>
          </cell>
          <cell r="D7" t="str">
            <v>15,950</v>
          </cell>
          <cell r="E7" t="str">
            <v>17,200</v>
          </cell>
          <cell r="F7" t="str">
            <v>17,150</v>
          </cell>
          <cell r="G7" t="str">
            <v>16,400</v>
          </cell>
          <cell r="H7" t="str">
            <v>15,850</v>
          </cell>
          <cell r="I7" t="str">
            <v>15,950</v>
          </cell>
          <cell r="J7" t="str">
            <v>15,900</v>
          </cell>
          <cell r="K7" t="str">
            <v>15,950</v>
          </cell>
          <cell r="L7" t="str">
            <v>15,900</v>
          </cell>
          <cell r="M7" t="str">
            <v>15,900</v>
          </cell>
          <cell r="N7" t="str">
            <v>15,950</v>
          </cell>
          <cell r="O7" t="str">
            <v>16,000</v>
          </cell>
          <cell r="P7" t="str">
            <v>16,000</v>
          </cell>
          <cell r="Q7" t="str">
            <v>16,000</v>
          </cell>
          <cell r="R7" t="str">
            <v>16,000</v>
          </cell>
          <cell r="S7" t="str">
            <v>16,000</v>
          </cell>
          <cell r="T7" t="str">
            <v>16,000</v>
          </cell>
          <cell r="U7" t="str">
            <v>16,100</v>
          </cell>
          <cell r="V7" t="str">
            <v>16,100</v>
          </cell>
          <cell r="W7" t="str">
            <v>16,100</v>
          </cell>
          <cell r="X7" t="str">
            <v>16,100</v>
          </cell>
          <cell r="Y7" t="str">
            <v>16,100</v>
          </cell>
          <cell r="Z7" t="str">
            <v>16,100</v>
          </cell>
        </row>
        <row r="8">
          <cell r="A8" t="str">
            <v>6</v>
          </cell>
          <cell r="B8" t="str">
            <v>Beras Kualitas Super II</v>
          </cell>
          <cell r="C8" t="str">
            <v>14,400</v>
          </cell>
          <cell r="D8" t="str">
            <v>15,450</v>
          </cell>
          <cell r="E8" t="str">
            <v>16,650</v>
          </cell>
          <cell r="F8" t="str">
            <v>16,650</v>
          </cell>
          <cell r="G8" t="str">
            <v>15,850</v>
          </cell>
          <cell r="H8" t="str">
            <v>15,150</v>
          </cell>
          <cell r="I8" t="str">
            <v>15,400</v>
          </cell>
          <cell r="J8" t="str">
            <v>15,350</v>
          </cell>
          <cell r="K8" t="str">
            <v>15,200</v>
          </cell>
          <cell r="L8" t="str">
            <v>15,250</v>
          </cell>
          <cell r="M8" t="str">
            <v>15,250</v>
          </cell>
          <cell r="N8" t="str">
            <v>15,400</v>
          </cell>
          <cell r="O8" t="str">
            <v>15,500</v>
          </cell>
          <cell r="P8" t="str">
            <v>15,350</v>
          </cell>
          <cell r="Q8" t="str">
            <v>15,350</v>
          </cell>
          <cell r="R8" t="str">
            <v>15,350</v>
          </cell>
          <cell r="S8" t="str">
            <v>15,350</v>
          </cell>
          <cell r="T8" t="str">
            <v>15,350</v>
          </cell>
          <cell r="U8" t="str">
            <v>15,450</v>
          </cell>
          <cell r="V8" t="str">
            <v>15,450</v>
          </cell>
          <cell r="W8" t="str">
            <v>15,450</v>
          </cell>
          <cell r="X8" t="str">
            <v>15,450</v>
          </cell>
          <cell r="Y8" t="str">
            <v>15,450</v>
          </cell>
          <cell r="Z8" t="str">
            <v>15,450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No</v>
          </cell>
          <cell r="B1" t="str">
            <v>Komoditas (Rp)</v>
          </cell>
          <cell r="C1" t="str">
            <v>01/ 01/ 2024</v>
          </cell>
          <cell r="D1" t="str">
            <v>01/ 02/ 2024</v>
          </cell>
          <cell r="E1" t="str">
            <v>01/ 03/ 2024</v>
          </cell>
          <cell r="F1" t="str">
            <v>01/ 04/ 2024</v>
          </cell>
          <cell r="G1" t="str">
            <v>01/ 05/ 2024</v>
          </cell>
          <cell r="H1" t="str">
            <v>03/ 06/ 2024</v>
          </cell>
          <cell r="I1" t="str">
            <v>01/ 07/ 2024</v>
          </cell>
          <cell r="J1" t="str">
            <v>01/ 08/ 2024</v>
          </cell>
          <cell r="K1" t="str">
            <v>02/ 09/ 2024</v>
          </cell>
          <cell r="L1" t="str">
            <v>01/ 10/ 2024</v>
          </cell>
          <cell r="M1" t="str">
            <v>01/ 11/ 2024</v>
          </cell>
          <cell r="N1" t="str">
            <v>02/ 12/ 2024</v>
          </cell>
          <cell r="O1" t="str">
            <v>01/ 01/ 2025</v>
          </cell>
          <cell r="P1" t="str">
            <v>03/ 02/ 2025</v>
          </cell>
          <cell r="Q1" t="str">
            <v>03/ 03/ 2025</v>
          </cell>
          <cell r="R1" t="str">
            <v>01/ 04/ 2025</v>
          </cell>
          <cell r="S1" t="str">
            <v>01/ 05/ 2025</v>
          </cell>
          <cell r="T1" t="str">
            <v>02/ 06/ 2025</v>
          </cell>
          <cell r="U1" t="str">
            <v>01/ 07/ 2025</v>
          </cell>
          <cell r="V1" t="str">
            <v>01/ 08/ 2025</v>
          </cell>
          <cell r="W1" t="str">
            <v>01/ 09/ 2025</v>
          </cell>
          <cell r="X1" t="str">
            <v>01/ 10/ 2025</v>
          </cell>
          <cell r="Y1" t="str">
            <v>03/ 11/ 2025</v>
          </cell>
          <cell r="Z1" t="str">
            <v>01/ 12/ 2025</v>
          </cell>
        </row>
        <row r="2">
          <cell r="A2" t="str">
            <v>I</v>
          </cell>
          <cell r="B2" t="str">
            <v>Beras</v>
          </cell>
          <cell r="C2" t="str">
            <v>13,600</v>
          </cell>
          <cell r="D2" t="str">
            <v>14,850</v>
          </cell>
          <cell r="E2" t="str">
            <v>15,450</v>
          </cell>
          <cell r="F2" t="str">
            <v>15,250</v>
          </cell>
          <cell r="G2" t="str">
            <v>14,550</v>
          </cell>
          <cell r="H2" t="str">
            <v>14,350</v>
          </cell>
          <cell r="I2" t="str">
            <v>14,400</v>
          </cell>
          <cell r="J2" t="str">
            <v>14,550</v>
          </cell>
          <cell r="K2" t="str">
            <v>14,550</v>
          </cell>
          <cell r="L2" t="str">
            <v>14,550</v>
          </cell>
          <cell r="M2" t="str">
            <v>14,500</v>
          </cell>
          <cell r="N2" t="str">
            <v>14,450</v>
          </cell>
          <cell r="O2" t="str">
            <v>14,650</v>
          </cell>
          <cell r="P2" t="str">
            <v>14,700</v>
          </cell>
          <cell r="Q2" t="str">
            <v>14,700</v>
          </cell>
          <cell r="R2" t="str">
            <v>14,800</v>
          </cell>
          <cell r="S2" t="str">
            <v>14,800</v>
          </cell>
          <cell r="T2" t="str">
            <v>14,900</v>
          </cell>
          <cell r="U2" t="str">
            <v>15,100</v>
          </cell>
          <cell r="V2" t="str">
            <v>15,100</v>
          </cell>
          <cell r="W2" t="str">
            <v>15,100</v>
          </cell>
          <cell r="X2" t="str">
            <v>15,300</v>
          </cell>
          <cell r="Y2" t="str">
            <v>15,250</v>
          </cell>
          <cell r="Z2" t="str">
            <v>15,150</v>
          </cell>
        </row>
        <row r="3">
          <cell r="A3" t="str">
            <v>1</v>
          </cell>
          <cell r="B3" t="str">
            <v>Beras Kualitas Bawah I</v>
          </cell>
          <cell r="C3" t="str">
            <v>12,700</v>
          </cell>
          <cell r="D3" t="str">
            <v>13,850</v>
          </cell>
          <cell r="E3" t="str">
            <v>14,500</v>
          </cell>
          <cell r="F3" t="str">
            <v>14,150</v>
          </cell>
          <cell r="G3" t="str">
            <v>13,150</v>
          </cell>
          <cell r="H3" t="str">
            <v>12,700</v>
          </cell>
          <cell r="I3" t="str">
            <v>12,900</v>
          </cell>
          <cell r="J3" t="str">
            <v>12,900</v>
          </cell>
          <cell r="K3" t="str">
            <v>12,900</v>
          </cell>
          <cell r="L3" t="str">
            <v>12,900</v>
          </cell>
          <cell r="M3" t="str">
            <v>12,900</v>
          </cell>
          <cell r="N3" t="str">
            <v>12,900</v>
          </cell>
          <cell r="O3" t="str">
            <v>12,950</v>
          </cell>
          <cell r="P3" t="str">
            <v>13,000</v>
          </cell>
          <cell r="Q3" t="str">
            <v>13,000</v>
          </cell>
          <cell r="R3" t="str">
            <v>13,300</v>
          </cell>
          <cell r="S3" t="str">
            <v>13,300</v>
          </cell>
          <cell r="T3" t="str">
            <v>13,400</v>
          </cell>
          <cell r="U3" t="str">
            <v>13,700</v>
          </cell>
          <cell r="V3" t="str">
            <v>13,700</v>
          </cell>
          <cell r="W3" t="str">
            <v>13,700</v>
          </cell>
          <cell r="X3" t="str">
            <v>13,750</v>
          </cell>
          <cell r="Y3" t="str">
            <v>13,750</v>
          </cell>
          <cell r="Z3" t="str">
            <v>13,750</v>
          </cell>
        </row>
        <row r="4">
          <cell r="A4" t="str">
            <v>2</v>
          </cell>
          <cell r="B4" t="str">
            <v>Beras Kualitas Bawah II</v>
          </cell>
          <cell r="C4" t="str">
            <v>12,450</v>
          </cell>
          <cell r="D4" t="str">
            <v>13,600</v>
          </cell>
          <cell r="E4" t="str">
            <v>14,150</v>
          </cell>
          <cell r="F4" t="str">
            <v>13,750</v>
          </cell>
          <cell r="G4" t="str">
            <v>12,750</v>
          </cell>
          <cell r="H4" t="str">
            <v>12,200</v>
          </cell>
          <cell r="I4" t="str">
            <v>12,400</v>
          </cell>
          <cell r="J4" t="str">
            <v>12,400</v>
          </cell>
          <cell r="K4" t="str">
            <v>12,400</v>
          </cell>
          <cell r="L4" t="str">
            <v>12,400</v>
          </cell>
          <cell r="M4" t="str">
            <v>12,400</v>
          </cell>
          <cell r="N4" t="str">
            <v>12,450</v>
          </cell>
          <cell r="O4" t="str">
            <v>12,500</v>
          </cell>
          <cell r="P4" t="str">
            <v>12,600</v>
          </cell>
          <cell r="Q4" t="str">
            <v>12,600</v>
          </cell>
          <cell r="R4" t="str">
            <v>12,900</v>
          </cell>
          <cell r="S4" t="str">
            <v>12,900</v>
          </cell>
          <cell r="T4" t="str">
            <v>13,050</v>
          </cell>
          <cell r="U4" t="str">
            <v>13,350</v>
          </cell>
          <cell r="V4" t="str">
            <v>13,350</v>
          </cell>
          <cell r="W4" t="str">
            <v>13,350</v>
          </cell>
          <cell r="X4" t="str">
            <v>13,400</v>
          </cell>
          <cell r="Y4" t="str">
            <v>13,400</v>
          </cell>
          <cell r="Z4" t="str">
            <v>13,250</v>
          </cell>
        </row>
        <row r="5">
          <cell r="A5" t="str">
            <v>3</v>
          </cell>
          <cell r="B5" t="str">
            <v>Beras Kualitas Medium I</v>
          </cell>
          <cell r="C5" t="str">
            <v>13,350</v>
          </cell>
          <cell r="D5" t="str">
            <v>14,350</v>
          </cell>
          <cell r="E5" t="str">
            <v>15,100</v>
          </cell>
          <cell r="F5" t="str">
            <v>14,900</v>
          </cell>
          <cell r="G5" t="str">
            <v>14,400</v>
          </cell>
          <cell r="H5" t="str">
            <v>14,400</v>
          </cell>
          <cell r="I5" t="str">
            <v>14,400</v>
          </cell>
          <cell r="J5" t="str">
            <v>14,400</v>
          </cell>
          <cell r="K5" t="str">
            <v>14,400</v>
          </cell>
          <cell r="L5" t="str">
            <v>14,400</v>
          </cell>
          <cell r="M5" t="str">
            <v>14,400</v>
          </cell>
          <cell r="N5" t="str">
            <v>14,200</v>
          </cell>
          <cell r="O5" t="str">
            <v>14,450</v>
          </cell>
          <cell r="P5" t="str">
            <v>14,500</v>
          </cell>
          <cell r="Q5" t="str">
            <v>14,500</v>
          </cell>
          <cell r="R5" t="str">
            <v>14,500</v>
          </cell>
          <cell r="S5" t="str">
            <v>14,500</v>
          </cell>
          <cell r="T5" t="str">
            <v>14,650</v>
          </cell>
          <cell r="U5" t="str">
            <v>14,900</v>
          </cell>
          <cell r="V5" t="str">
            <v>14,900</v>
          </cell>
          <cell r="W5" t="str">
            <v>14,900</v>
          </cell>
          <cell r="X5" t="str">
            <v>14,950</v>
          </cell>
          <cell r="Y5" t="str">
            <v>14,950</v>
          </cell>
          <cell r="Z5" t="str">
            <v>14,950</v>
          </cell>
        </row>
        <row r="6">
          <cell r="A6" t="str">
            <v>4</v>
          </cell>
          <cell r="B6" t="str">
            <v>Beras Kualitas Medium II</v>
          </cell>
          <cell r="C6" t="str">
            <v>13,000</v>
          </cell>
          <cell r="D6" t="str">
            <v>14,050</v>
          </cell>
          <cell r="E6" t="str">
            <v>14,800</v>
          </cell>
          <cell r="F6" t="str">
            <v>14,600</v>
          </cell>
          <cell r="G6" t="str">
            <v>14,100</v>
          </cell>
          <cell r="H6" t="str">
            <v>13,950</v>
          </cell>
          <cell r="I6" t="str">
            <v>13,950</v>
          </cell>
          <cell r="J6" t="str">
            <v>13,950</v>
          </cell>
          <cell r="K6" t="str">
            <v>13,950</v>
          </cell>
          <cell r="L6" t="str">
            <v>13,950</v>
          </cell>
          <cell r="M6" t="str">
            <v>13,950</v>
          </cell>
          <cell r="N6" t="str">
            <v>13,850</v>
          </cell>
          <cell r="O6" t="str">
            <v>14,000</v>
          </cell>
          <cell r="P6" t="str">
            <v>14,050</v>
          </cell>
          <cell r="Q6" t="str">
            <v>14,050</v>
          </cell>
          <cell r="R6" t="str">
            <v>14,050</v>
          </cell>
          <cell r="S6" t="str">
            <v>14,050</v>
          </cell>
          <cell r="T6" t="str">
            <v>14,200</v>
          </cell>
          <cell r="U6" t="str">
            <v>14,400</v>
          </cell>
          <cell r="V6" t="str">
            <v>14,400</v>
          </cell>
          <cell r="W6" t="str">
            <v>14,400</v>
          </cell>
          <cell r="X6" t="str">
            <v>14,600</v>
          </cell>
          <cell r="Y6" t="str">
            <v>14,600</v>
          </cell>
          <cell r="Z6" t="str">
            <v>14,600</v>
          </cell>
        </row>
        <row r="7">
          <cell r="A7" t="str">
            <v>5</v>
          </cell>
          <cell r="B7" t="str">
            <v>Beras Kualitas Super I</v>
          </cell>
          <cell r="C7" t="str">
            <v>15,500</v>
          </cell>
          <cell r="D7" t="str">
            <v>17,150</v>
          </cell>
          <cell r="E7" t="str">
            <v>17,650</v>
          </cell>
          <cell r="F7" t="str">
            <v>17,650</v>
          </cell>
          <cell r="G7" t="str">
            <v>16,950</v>
          </cell>
          <cell r="H7" t="str">
            <v>16,900</v>
          </cell>
          <cell r="I7" t="str">
            <v>16,900</v>
          </cell>
          <cell r="J7" t="str">
            <v>17,750</v>
          </cell>
          <cell r="K7" t="str">
            <v>17,750</v>
          </cell>
          <cell r="L7" t="str">
            <v>17,750</v>
          </cell>
          <cell r="M7" t="str">
            <v>17,750</v>
          </cell>
          <cell r="N7" t="str">
            <v>17,750</v>
          </cell>
          <cell r="O7" t="str">
            <v>17,900</v>
          </cell>
          <cell r="P7" t="str">
            <v>18,000</v>
          </cell>
          <cell r="Q7" t="str">
            <v>18,000</v>
          </cell>
          <cell r="R7" t="str">
            <v>18,000</v>
          </cell>
          <cell r="S7" t="str">
            <v>18,000</v>
          </cell>
          <cell r="T7" t="str">
            <v>18,000</v>
          </cell>
          <cell r="U7" t="str">
            <v>18,000</v>
          </cell>
          <cell r="V7" t="str">
            <v>18,000</v>
          </cell>
          <cell r="W7" t="str">
            <v>18,000</v>
          </cell>
          <cell r="X7" t="str">
            <v>18,400</v>
          </cell>
          <cell r="Y7" t="str">
            <v>18,250</v>
          </cell>
          <cell r="Z7" t="str">
            <v>18,000</v>
          </cell>
        </row>
        <row r="8">
          <cell r="A8" t="str">
            <v>6</v>
          </cell>
          <cell r="B8" t="str">
            <v>Beras Kualitas Super II</v>
          </cell>
          <cell r="C8" t="str">
            <v>14,500</v>
          </cell>
          <cell r="D8" t="str">
            <v>16,000</v>
          </cell>
          <cell r="E8" t="str">
            <v>16,500</v>
          </cell>
          <cell r="F8" t="str">
            <v>16,500</v>
          </cell>
          <cell r="G8" t="str">
            <v>15,900</v>
          </cell>
          <cell r="H8" t="str">
            <v>15,750</v>
          </cell>
          <cell r="I8" t="str">
            <v>15,750</v>
          </cell>
          <cell r="J8" t="str">
            <v>15,750</v>
          </cell>
          <cell r="K8" t="str">
            <v>15,750</v>
          </cell>
          <cell r="L8" t="str">
            <v>15,800</v>
          </cell>
          <cell r="M8" t="str">
            <v>15,450</v>
          </cell>
          <cell r="N8" t="str">
            <v>15,400</v>
          </cell>
          <cell r="O8" t="str">
            <v>16,000</v>
          </cell>
          <cell r="P8" t="str">
            <v>16,000</v>
          </cell>
          <cell r="Q8" t="str">
            <v>16,000</v>
          </cell>
          <cell r="R8" t="str">
            <v>16,000</v>
          </cell>
          <cell r="S8" t="str">
            <v>16,000</v>
          </cell>
          <cell r="T8" t="str">
            <v>16,000</v>
          </cell>
          <cell r="U8" t="str">
            <v>16,150</v>
          </cell>
          <cell r="V8" t="str">
            <v>16,150</v>
          </cell>
          <cell r="W8" t="str">
            <v>16,150</v>
          </cell>
          <cell r="X8" t="str">
            <v>16,500</v>
          </cell>
          <cell r="Y8" t="str">
            <v>16,500</v>
          </cell>
          <cell r="Z8" t="str">
            <v>16,400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No</v>
          </cell>
          <cell r="B1" t="str">
            <v>Komoditas (Rp)</v>
          </cell>
          <cell r="C1" t="str">
            <v>01/ 01/ 2024</v>
          </cell>
          <cell r="D1" t="str">
            <v>01/ 02/ 2024</v>
          </cell>
          <cell r="E1" t="str">
            <v>01/ 03/ 2024</v>
          </cell>
          <cell r="F1" t="str">
            <v>01/ 04/ 2024</v>
          </cell>
          <cell r="G1" t="str">
            <v>01/ 05/ 2024</v>
          </cell>
          <cell r="H1" t="str">
            <v>03/ 06/ 2024</v>
          </cell>
          <cell r="I1" t="str">
            <v>01/ 07/ 2024</v>
          </cell>
          <cell r="J1" t="str">
            <v>01/ 08/ 2024</v>
          </cell>
          <cell r="K1" t="str">
            <v>02/ 09/ 2024</v>
          </cell>
          <cell r="L1" t="str">
            <v>01/ 10/ 2024</v>
          </cell>
          <cell r="M1" t="str">
            <v>01/ 11/ 2024</v>
          </cell>
          <cell r="N1" t="str">
            <v>02/ 12/ 2024</v>
          </cell>
          <cell r="O1" t="str">
            <v>01/ 01/ 2025</v>
          </cell>
          <cell r="P1" t="str">
            <v>03/ 02/ 2025</v>
          </cell>
          <cell r="Q1" t="str">
            <v>03/ 03/ 2025</v>
          </cell>
          <cell r="R1" t="str">
            <v>01/ 04/ 2025</v>
          </cell>
          <cell r="S1" t="str">
            <v>01/ 05/ 2025</v>
          </cell>
          <cell r="T1" t="str">
            <v>02/ 06/ 2025</v>
          </cell>
          <cell r="U1" t="str">
            <v>01/ 07/ 2025</v>
          </cell>
          <cell r="V1" t="str">
            <v>01/ 08/ 2025</v>
          </cell>
          <cell r="W1" t="str">
            <v>01/ 09/ 2025</v>
          </cell>
          <cell r="X1" t="str">
            <v>01/ 10/ 2025</v>
          </cell>
          <cell r="Y1" t="str">
            <v>03/ 11/ 2025</v>
          </cell>
          <cell r="Z1" t="str">
            <v>01/ 12/ 2025</v>
          </cell>
        </row>
        <row r="2">
          <cell r="A2" t="str">
            <v>I</v>
          </cell>
          <cell r="B2" t="str">
            <v>Beras</v>
          </cell>
          <cell r="C2" t="str">
            <v>13,050</v>
          </cell>
          <cell r="D2" t="str">
            <v>13,650</v>
          </cell>
          <cell r="E2" t="str">
            <v>15,750</v>
          </cell>
          <cell r="F2" t="str">
            <v>14,700</v>
          </cell>
          <cell r="G2" t="str">
            <v>13,750</v>
          </cell>
          <cell r="H2" t="str">
            <v>13,550</v>
          </cell>
          <cell r="I2" t="str">
            <v>13,550</v>
          </cell>
          <cell r="J2" t="str">
            <v>13,550</v>
          </cell>
          <cell r="K2" t="str">
            <v>13,550</v>
          </cell>
          <cell r="L2" t="str">
            <v>13,550</v>
          </cell>
          <cell r="M2" t="str">
            <v>13,550</v>
          </cell>
          <cell r="N2" t="str">
            <v>13,550</v>
          </cell>
          <cell r="O2" t="str">
            <v>13,550</v>
          </cell>
          <cell r="P2" t="str">
            <v>13,550</v>
          </cell>
          <cell r="Q2" t="str">
            <v>13,550</v>
          </cell>
          <cell r="R2" t="str">
            <v>13,550</v>
          </cell>
          <cell r="S2" t="str">
            <v>13,550</v>
          </cell>
          <cell r="T2" t="str">
            <v>13,800</v>
          </cell>
          <cell r="U2" t="str">
            <v>13,900</v>
          </cell>
          <cell r="V2" t="str">
            <v>13,900</v>
          </cell>
          <cell r="W2" t="str">
            <v>14,150</v>
          </cell>
          <cell r="X2" t="str">
            <v>14,150</v>
          </cell>
          <cell r="Y2" t="str">
            <v>14,050</v>
          </cell>
          <cell r="Z2" t="str">
            <v>14,050</v>
          </cell>
        </row>
        <row r="3">
          <cell r="A3" t="str">
            <v>1</v>
          </cell>
          <cell r="B3" t="str">
            <v>Beras Kualitas Bawah I</v>
          </cell>
          <cell r="C3" t="str">
            <v>12,400</v>
          </cell>
          <cell r="D3" t="str">
            <v>13,050</v>
          </cell>
          <cell r="E3" t="str">
            <v>15,000</v>
          </cell>
          <cell r="F3" t="str">
            <v>14,000</v>
          </cell>
          <cell r="G3" t="str">
            <v>13,000</v>
          </cell>
          <cell r="H3" t="str">
            <v>12,900</v>
          </cell>
          <cell r="I3" t="str">
            <v>12,900</v>
          </cell>
          <cell r="J3" t="str">
            <v>12,900</v>
          </cell>
          <cell r="K3" t="str">
            <v>12,900</v>
          </cell>
          <cell r="L3" t="str">
            <v>12,900</v>
          </cell>
          <cell r="M3" t="str">
            <v>12,900</v>
          </cell>
          <cell r="N3" t="str">
            <v>12,900</v>
          </cell>
          <cell r="O3" t="str">
            <v>12,900</v>
          </cell>
          <cell r="P3" t="str">
            <v>12,900</v>
          </cell>
          <cell r="Q3" t="str">
            <v>12,900</v>
          </cell>
          <cell r="R3" t="str">
            <v>12,900</v>
          </cell>
          <cell r="S3" t="str">
            <v>12,900</v>
          </cell>
          <cell r="T3" t="str">
            <v>13,150</v>
          </cell>
          <cell r="U3" t="str">
            <v>13,250</v>
          </cell>
          <cell r="V3" t="str">
            <v>13,250</v>
          </cell>
          <cell r="W3" t="str">
            <v>13,500</v>
          </cell>
          <cell r="X3" t="str">
            <v>13,500</v>
          </cell>
          <cell r="Y3" t="str">
            <v>13,400</v>
          </cell>
          <cell r="Z3" t="str">
            <v>13,400</v>
          </cell>
        </row>
        <row r="4">
          <cell r="A4" t="str">
            <v>2</v>
          </cell>
          <cell r="B4" t="str">
            <v>Beras Kualitas Bawah II</v>
          </cell>
          <cell r="C4" t="str">
            <v>11,800</v>
          </cell>
          <cell r="D4" t="str">
            <v>12,500</v>
          </cell>
          <cell r="E4" t="str">
            <v>14,450</v>
          </cell>
          <cell r="F4" t="str">
            <v>13,500</v>
          </cell>
          <cell r="G4" t="str">
            <v>12,500</v>
          </cell>
          <cell r="H4" t="str">
            <v>12,250</v>
          </cell>
          <cell r="I4" t="str">
            <v>12,250</v>
          </cell>
          <cell r="J4" t="str">
            <v>12,250</v>
          </cell>
          <cell r="K4" t="str">
            <v>12,250</v>
          </cell>
          <cell r="L4" t="str">
            <v>12,250</v>
          </cell>
          <cell r="M4" t="str">
            <v>12,250</v>
          </cell>
          <cell r="N4" t="str">
            <v>12,250</v>
          </cell>
          <cell r="O4" t="str">
            <v>12,250</v>
          </cell>
          <cell r="P4" t="str">
            <v>12,250</v>
          </cell>
          <cell r="Q4" t="str">
            <v>12,250</v>
          </cell>
          <cell r="R4" t="str">
            <v>12,250</v>
          </cell>
          <cell r="S4" t="str">
            <v>12,250</v>
          </cell>
          <cell r="T4" t="str">
            <v>12,500</v>
          </cell>
          <cell r="U4" t="str">
            <v>12,750</v>
          </cell>
          <cell r="V4" t="str">
            <v>12,750</v>
          </cell>
          <cell r="W4" t="str">
            <v>13,000</v>
          </cell>
          <cell r="X4" t="str">
            <v>13,000</v>
          </cell>
          <cell r="Y4" t="str">
            <v>12,900</v>
          </cell>
          <cell r="Z4" t="str">
            <v>12,900</v>
          </cell>
        </row>
        <row r="5">
          <cell r="A5" t="str">
            <v>3</v>
          </cell>
          <cell r="B5" t="str">
            <v>Beras Kualitas Medium I</v>
          </cell>
          <cell r="C5" t="str">
            <v>13,250</v>
          </cell>
          <cell r="D5" t="str">
            <v>13,750</v>
          </cell>
          <cell r="E5" t="str">
            <v>16,000</v>
          </cell>
          <cell r="F5" t="str">
            <v>14,900</v>
          </cell>
          <cell r="G5" t="str">
            <v>14,000</v>
          </cell>
          <cell r="H5" t="str">
            <v>13,800</v>
          </cell>
          <cell r="I5" t="str">
            <v>13,800</v>
          </cell>
          <cell r="J5" t="str">
            <v>13,800</v>
          </cell>
          <cell r="K5" t="str">
            <v>13,800</v>
          </cell>
          <cell r="L5" t="str">
            <v>13,800</v>
          </cell>
          <cell r="M5" t="str">
            <v>13,800</v>
          </cell>
          <cell r="N5" t="str">
            <v>13,800</v>
          </cell>
          <cell r="O5" t="str">
            <v>13,800</v>
          </cell>
          <cell r="P5" t="str">
            <v>13,800</v>
          </cell>
          <cell r="Q5" t="str">
            <v>13,800</v>
          </cell>
          <cell r="R5" t="str">
            <v>13,800</v>
          </cell>
          <cell r="S5" t="str">
            <v>13,800</v>
          </cell>
          <cell r="T5" t="str">
            <v>14,050</v>
          </cell>
          <cell r="U5" t="str">
            <v>14,100</v>
          </cell>
          <cell r="V5" t="str">
            <v>14,100</v>
          </cell>
          <cell r="W5" t="str">
            <v>14,350</v>
          </cell>
          <cell r="X5" t="str">
            <v>14,350</v>
          </cell>
          <cell r="Y5" t="str">
            <v>14,300</v>
          </cell>
          <cell r="Z5" t="str">
            <v>14,300</v>
          </cell>
        </row>
        <row r="6">
          <cell r="A6" t="str">
            <v>4</v>
          </cell>
          <cell r="B6" t="str">
            <v>Beras Kualitas Medium II</v>
          </cell>
          <cell r="C6" t="str">
            <v>12,750</v>
          </cell>
          <cell r="D6" t="str">
            <v>13,400</v>
          </cell>
          <cell r="E6" t="str">
            <v>15,500</v>
          </cell>
          <cell r="F6" t="str">
            <v>14,450</v>
          </cell>
          <cell r="G6" t="str">
            <v>13,500</v>
          </cell>
          <cell r="H6" t="str">
            <v>13,400</v>
          </cell>
          <cell r="I6" t="str">
            <v>13,400</v>
          </cell>
          <cell r="J6" t="str">
            <v>13,400</v>
          </cell>
          <cell r="K6" t="str">
            <v>13,400</v>
          </cell>
          <cell r="L6" t="str">
            <v>13,400</v>
          </cell>
          <cell r="M6" t="str">
            <v>13,400</v>
          </cell>
          <cell r="N6" t="str">
            <v>13,400</v>
          </cell>
          <cell r="O6" t="str">
            <v>13,400</v>
          </cell>
          <cell r="P6" t="str">
            <v>13,400</v>
          </cell>
          <cell r="Q6" t="str">
            <v>13,400</v>
          </cell>
          <cell r="R6" t="str">
            <v>13,400</v>
          </cell>
          <cell r="S6" t="str">
            <v>13,400</v>
          </cell>
          <cell r="T6" t="str">
            <v>13,650</v>
          </cell>
          <cell r="U6" t="str">
            <v>13,700</v>
          </cell>
          <cell r="V6" t="str">
            <v>13,700</v>
          </cell>
          <cell r="W6" t="str">
            <v>13,950</v>
          </cell>
          <cell r="X6" t="str">
            <v>13,950</v>
          </cell>
          <cell r="Y6" t="str">
            <v>13,900</v>
          </cell>
          <cell r="Z6" t="str">
            <v>13,900</v>
          </cell>
        </row>
        <row r="7">
          <cell r="A7" t="str">
            <v>5</v>
          </cell>
          <cell r="B7" t="str">
            <v>Beras Kualitas Super I</v>
          </cell>
          <cell r="C7" t="str">
            <v>14,250</v>
          </cell>
          <cell r="D7" t="str">
            <v>14,850</v>
          </cell>
          <cell r="E7" t="str">
            <v>16,950</v>
          </cell>
          <cell r="F7" t="str">
            <v>15,800</v>
          </cell>
          <cell r="G7" t="str">
            <v>15,000</v>
          </cell>
          <cell r="H7" t="str">
            <v>14,750</v>
          </cell>
          <cell r="I7" t="str">
            <v>14,750</v>
          </cell>
          <cell r="J7" t="str">
            <v>14,750</v>
          </cell>
          <cell r="K7" t="str">
            <v>14,750</v>
          </cell>
          <cell r="L7" t="str">
            <v>14,750</v>
          </cell>
          <cell r="M7" t="str">
            <v>14,750</v>
          </cell>
          <cell r="N7" t="str">
            <v>14,750</v>
          </cell>
          <cell r="O7" t="str">
            <v>14,750</v>
          </cell>
          <cell r="P7" t="str">
            <v>14,750</v>
          </cell>
          <cell r="Q7" t="str">
            <v>14,750</v>
          </cell>
          <cell r="R7" t="str">
            <v>14,750</v>
          </cell>
          <cell r="S7" t="str">
            <v>14,750</v>
          </cell>
          <cell r="T7" t="str">
            <v>15,000</v>
          </cell>
          <cell r="U7" t="str">
            <v>15,000</v>
          </cell>
          <cell r="V7" t="str">
            <v>15,000</v>
          </cell>
          <cell r="W7" t="str">
            <v>15,250</v>
          </cell>
          <cell r="X7" t="str">
            <v>15,250</v>
          </cell>
          <cell r="Y7" t="str">
            <v>15,050</v>
          </cell>
          <cell r="Z7" t="str">
            <v>15,050</v>
          </cell>
        </row>
        <row r="8">
          <cell r="A8" t="str">
            <v>6</v>
          </cell>
          <cell r="B8" t="str">
            <v>Beras Kualitas Super II</v>
          </cell>
          <cell r="C8" t="str">
            <v>13,750</v>
          </cell>
          <cell r="D8" t="str">
            <v>14,350</v>
          </cell>
          <cell r="E8" t="str">
            <v>16,500</v>
          </cell>
          <cell r="F8" t="str">
            <v>15,400</v>
          </cell>
          <cell r="G8" t="str">
            <v>14,500</v>
          </cell>
          <cell r="H8" t="str">
            <v>14,250</v>
          </cell>
          <cell r="I8" t="str">
            <v>14,250</v>
          </cell>
          <cell r="J8" t="str">
            <v>14,150</v>
          </cell>
          <cell r="K8" t="str">
            <v>14,300</v>
          </cell>
          <cell r="L8" t="str">
            <v>14,300</v>
          </cell>
          <cell r="M8" t="str">
            <v>14,300</v>
          </cell>
          <cell r="N8" t="str">
            <v>14,300</v>
          </cell>
          <cell r="O8" t="str">
            <v>14,300</v>
          </cell>
          <cell r="P8" t="str">
            <v>14,300</v>
          </cell>
          <cell r="Q8" t="str">
            <v>14,300</v>
          </cell>
          <cell r="R8" t="str">
            <v>14,300</v>
          </cell>
          <cell r="S8" t="str">
            <v>14,300</v>
          </cell>
          <cell r="T8" t="str">
            <v>14,550</v>
          </cell>
          <cell r="U8" t="str">
            <v>14,550</v>
          </cell>
          <cell r="V8" t="str">
            <v>14,550</v>
          </cell>
          <cell r="W8" t="str">
            <v>14,800</v>
          </cell>
          <cell r="X8" t="str">
            <v>14,800</v>
          </cell>
          <cell r="Y8" t="str">
            <v>14,650</v>
          </cell>
          <cell r="Z8" t="str">
            <v>14,650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No</v>
          </cell>
          <cell r="B1" t="str">
            <v>Komoditas (Rp)</v>
          </cell>
          <cell r="C1" t="str">
            <v>01/ 01/ 2024</v>
          </cell>
          <cell r="D1" t="str">
            <v>01/ 02/ 2024</v>
          </cell>
          <cell r="E1" t="str">
            <v>01/ 03/ 2024</v>
          </cell>
          <cell r="F1" t="str">
            <v>01/ 04/ 2024</v>
          </cell>
          <cell r="G1" t="str">
            <v>01/ 05/ 2024</v>
          </cell>
          <cell r="H1" t="str">
            <v>03/ 06/ 2024</v>
          </cell>
          <cell r="I1" t="str">
            <v>01/ 07/ 2024</v>
          </cell>
          <cell r="J1" t="str">
            <v>01/ 08/ 2024</v>
          </cell>
          <cell r="K1" t="str">
            <v>02/ 09/ 2024</v>
          </cell>
          <cell r="L1" t="str">
            <v>01/ 10/ 2024</v>
          </cell>
          <cell r="M1" t="str">
            <v>01/ 11/ 2024</v>
          </cell>
          <cell r="N1" t="str">
            <v>02/ 12/ 2024</v>
          </cell>
          <cell r="O1" t="str">
            <v>01/ 01/ 2025</v>
          </cell>
          <cell r="P1" t="str">
            <v>03/ 02/ 2025</v>
          </cell>
          <cell r="Q1" t="str">
            <v>03/ 03/ 2025</v>
          </cell>
          <cell r="R1" t="str">
            <v>01/ 04/ 2025</v>
          </cell>
          <cell r="S1" t="str">
            <v>01/ 05/ 2025</v>
          </cell>
          <cell r="T1" t="str">
            <v>02/ 06/ 2025</v>
          </cell>
          <cell r="U1" t="str">
            <v>01/ 07/ 2025</v>
          </cell>
          <cell r="V1" t="str">
            <v>01/ 08/ 2025</v>
          </cell>
          <cell r="W1" t="str">
            <v>01/ 09/ 2025</v>
          </cell>
          <cell r="X1" t="str">
            <v>01/ 10/ 2025</v>
          </cell>
          <cell r="Y1" t="str">
            <v>03/ 11/ 2025</v>
          </cell>
          <cell r="Z1" t="str">
            <v>01/ 12/ 2025</v>
          </cell>
        </row>
        <row r="2">
          <cell r="A2" t="str">
            <v>I</v>
          </cell>
          <cell r="B2" t="str">
            <v>Beras</v>
          </cell>
          <cell r="C2" t="str">
            <v>13,950</v>
          </cell>
          <cell r="D2" t="str">
            <v>15,000</v>
          </cell>
          <cell r="E2" t="str">
            <v>16,400</v>
          </cell>
          <cell r="F2" t="str">
            <v>16,000</v>
          </cell>
          <cell r="G2" t="str">
            <v>14,750</v>
          </cell>
          <cell r="H2" t="str">
            <v>13,950</v>
          </cell>
          <cell r="I2" t="str">
            <v>14,400</v>
          </cell>
          <cell r="J2" t="str">
            <v>14,450</v>
          </cell>
          <cell r="K2" t="str">
            <v>14,300</v>
          </cell>
          <cell r="L2" t="str">
            <v>14,300</v>
          </cell>
          <cell r="M2" t="str">
            <v>14,250</v>
          </cell>
          <cell r="N2" t="str">
            <v>14,350</v>
          </cell>
          <cell r="O2" t="str">
            <v>-</v>
          </cell>
          <cell r="P2" t="str">
            <v>14,450</v>
          </cell>
          <cell r="Q2" t="str">
            <v>14,350</v>
          </cell>
          <cell r="R2" t="str">
            <v>14,350</v>
          </cell>
          <cell r="S2" t="str">
            <v>14,350</v>
          </cell>
          <cell r="T2" t="str">
            <v>14,350</v>
          </cell>
          <cell r="U2" t="str">
            <v>14,600</v>
          </cell>
          <cell r="V2" t="str">
            <v>14,600</v>
          </cell>
          <cell r="W2" t="str">
            <v>14,600</v>
          </cell>
          <cell r="X2" t="str">
            <v>14,600</v>
          </cell>
          <cell r="Y2" t="str">
            <v>14,600</v>
          </cell>
          <cell r="Z2" t="str">
            <v>14,600</v>
          </cell>
        </row>
        <row r="3">
          <cell r="A3" t="str">
            <v>1</v>
          </cell>
          <cell r="B3" t="str">
            <v>Beras Kualitas Bawah I</v>
          </cell>
          <cell r="C3" t="str">
            <v>13,400</v>
          </cell>
          <cell r="D3" t="str">
            <v>14,500</v>
          </cell>
          <cell r="E3" t="str">
            <v>15,900</v>
          </cell>
          <cell r="F3" t="str">
            <v>15,250</v>
          </cell>
          <cell r="G3" t="str">
            <v>13,900</v>
          </cell>
          <cell r="H3" t="str">
            <v>13,150</v>
          </cell>
          <cell r="I3" t="str">
            <v>13,650</v>
          </cell>
          <cell r="J3" t="str">
            <v>13,650</v>
          </cell>
          <cell r="K3" t="str">
            <v>13,500</v>
          </cell>
          <cell r="L3" t="str">
            <v>13,500</v>
          </cell>
          <cell r="M3" t="str">
            <v>13,500</v>
          </cell>
          <cell r="N3" t="str">
            <v>13,500</v>
          </cell>
          <cell r="O3" t="str">
            <v>-</v>
          </cell>
          <cell r="P3" t="str">
            <v>13,650</v>
          </cell>
          <cell r="Q3" t="str">
            <v>13,500</v>
          </cell>
          <cell r="R3" t="str">
            <v>13,500</v>
          </cell>
          <cell r="S3" t="str">
            <v>13,500</v>
          </cell>
          <cell r="T3" t="str">
            <v>13,500</v>
          </cell>
          <cell r="U3" t="str">
            <v>13,750</v>
          </cell>
          <cell r="V3" t="str">
            <v>13,750</v>
          </cell>
          <cell r="W3" t="str">
            <v>13,750</v>
          </cell>
          <cell r="X3" t="str">
            <v>13,750</v>
          </cell>
          <cell r="Y3" t="str">
            <v>13,750</v>
          </cell>
          <cell r="Z3" t="str">
            <v>13,750</v>
          </cell>
        </row>
        <row r="4">
          <cell r="A4" t="str">
            <v>2</v>
          </cell>
          <cell r="B4" t="str">
            <v>Beras Kualitas Bawah II</v>
          </cell>
          <cell r="C4" t="str">
            <v>13,250</v>
          </cell>
          <cell r="D4" t="str">
            <v>14,150</v>
          </cell>
          <cell r="E4" t="str">
            <v>15,650</v>
          </cell>
          <cell r="F4" t="str">
            <v>14,750</v>
          </cell>
          <cell r="G4" t="str">
            <v>13,500</v>
          </cell>
          <cell r="H4" t="str">
            <v>12,500</v>
          </cell>
          <cell r="I4" t="str">
            <v>13,150</v>
          </cell>
          <cell r="J4" t="str">
            <v>13,250</v>
          </cell>
          <cell r="K4" t="str">
            <v>12,900</v>
          </cell>
          <cell r="L4" t="str">
            <v>13,000</v>
          </cell>
          <cell r="M4" t="str">
            <v>12,750</v>
          </cell>
          <cell r="N4" t="str">
            <v>12,750</v>
          </cell>
          <cell r="O4" t="str">
            <v>-</v>
          </cell>
          <cell r="P4" t="str">
            <v>13,150</v>
          </cell>
          <cell r="Q4" t="str">
            <v>13,000</v>
          </cell>
          <cell r="R4" t="str">
            <v>13,000</v>
          </cell>
          <cell r="S4" t="str">
            <v>13,000</v>
          </cell>
          <cell r="T4" t="str">
            <v>13,000</v>
          </cell>
          <cell r="U4" t="str">
            <v>13,250</v>
          </cell>
          <cell r="V4" t="str">
            <v>13,250</v>
          </cell>
          <cell r="W4" t="str">
            <v>13,250</v>
          </cell>
          <cell r="X4" t="str">
            <v>13,250</v>
          </cell>
          <cell r="Y4" t="str">
            <v>13,250</v>
          </cell>
          <cell r="Z4" t="str">
            <v>13,250</v>
          </cell>
        </row>
        <row r="5">
          <cell r="A5" t="str">
            <v>3</v>
          </cell>
          <cell r="B5" t="str">
            <v>Beras Kualitas Medium I</v>
          </cell>
          <cell r="C5" t="str">
            <v>14,250</v>
          </cell>
          <cell r="D5" t="str">
            <v>15,150</v>
          </cell>
          <cell r="E5" t="str">
            <v>16,500</v>
          </cell>
          <cell r="F5" t="str">
            <v>16,150</v>
          </cell>
          <cell r="G5" t="str">
            <v>14,900</v>
          </cell>
          <cell r="H5" t="str">
            <v>14,150</v>
          </cell>
          <cell r="I5" t="str">
            <v>14,650</v>
          </cell>
          <cell r="J5" t="str">
            <v>14,650</v>
          </cell>
          <cell r="K5" t="str">
            <v>14,500</v>
          </cell>
          <cell r="L5" t="str">
            <v>14,500</v>
          </cell>
          <cell r="M5" t="str">
            <v>14,500</v>
          </cell>
          <cell r="N5" t="str">
            <v>14,500</v>
          </cell>
          <cell r="O5" t="str">
            <v>-</v>
          </cell>
          <cell r="P5" t="str">
            <v>14,650</v>
          </cell>
          <cell r="Q5" t="str">
            <v>14,500</v>
          </cell>
          <cell r="R5" t="str">
            <v>14,500</v>
          </cell>
          <cell r="S5" t="str">
            <v>14,500</v>
          </cell>
          <cell r="T5" t="str">
            <v>14,500</v>
          </cell>
          <cell r="U5" t="str">
            <v>14,750</v>
          </cell>
          <cell r="V5" t="str">
            <v>14,750</v>
          </cell>
          <cell r="W5" t="str">
            <v>14,750</v>
          </cell>
          <cell r="X5" t="str">
            <v>14,750</v>
          </cell>
          <cell r="Y5" t="str">
            <v>14,750</v>
          </cell>
          <cell r="Z5" t="str">
            <v>14,750</v>
          </cell>
        </row>
        <row r="6">
          <cell r="A6" t="str">
            <v>4</v>
          </cell>
          <cell r="B6" t="str">
            <v>Beras Kualitas Medium II</v>
          </cell>
          <cell r="C6" t="str">
            <v>13,650</v>
          </cell>
          <cell r="D6" t="str">
            <v>14,750</v>
          </cell>
          <cell r="E6" t="str">
            <v>16,250</v>
          </cell>
          <cell r="F6" t="str">
            <v>15,750</v>
          </cell>
          <cell r="G6" t="str">
            <v>14,250</v>
          </cell>
          <cell r="H6" t="str">
            <v>13,650</v>
          </cell>
          <cell r="I6" t="str">
            <v>14,150</v>
          </cell>
          <cell r="J6" t="str">
            <v>14,150</v>
          </cell>
          <cell r="K6" t="str">
            <v>14,000</v>
          </cell>
          <cell r="L6" t="str">
            <v>14,000</v>
          </cell>
          <cell r="M6" t="str">
            <v>14,000</v>
          </cell>
          <cell r="N6" t="str">
            <v>14,000</v>
          </cell>
          <cell r="O6" t="str">
            <v>-</v>
          </cell>
          <cell r="P6" t="str">
            <v>14,150</v>
          </cell>
          <cell r="Q6" t="str">
            <v>14,000</v>
          </cell>
          <cell r="R6" t="str">
            <v>14,000</v>
          </cell>
          <cell r="S6" t="str">
            <v>14,000</v>
          </cell>
          <cell r="T6" t="str">
            <v>14,000</v>
          </cell>
          <cell r="U6" t="str">
            <v>14,250</v>
          </cell>
          <cell r="V6" t="str">
            <v>14,250</v>
          </cell>
          <cell r="W6" t="str">
            <v>14,250</v>
          </cell>
          <cell r="X6" t="str">
            <v>14,250</v>
          </cell>
          <cell r="Y6" t="str">
            <v>14,250</v>
          </cell>
          <cell r="Z6" t="str">
            <v>14,250</v>
          </cell>
        </row>
        <row r="7">
          <cell r="A7" t="str">
            <v>5</v>
          </cell>
          <cell r="B7" t="str">
            <v>Beras Kualitas Super I</v>
          </cell>
          <cell r="C7" t="str">
            <v>14,750</v>
          </cell>
          <cell r="D7" t="str">
            <v>15,900</v>
          </cell>
          <cell r="E7" t="str">
            <v>17,400</v>
          </cell>
          <cell r="F7" t="str">
            <v>17,250</v>
          </cell>
          <cell r="G7" t="str">
            <v>16,250</v>
          </cell>
          <cell r="H7" t="str">
            <v>15,500</v>
          </cell>
          <cell r="I7" t="str">
            <v>15,750</v>
          </cell>
          <cell r="J7" t="str">
            <v>15,750</v>
          </cell>
          <cell r="K7" t="str">
            <v>15,900</v>
          </cell>
          <cell r="L7" t="str">
            <v>15,750</v>
          </cell>
          <cell r="M7" t="str">
            <v>15,750</v>
          </cell>
          <cell r="N7" t="str">
            <v>15,900</v>
          </cell>
          <cell r="O7" t="str">
            <v>-</v>
          </cell>
          <cell r="P7" t="str">
            <v>16,000</v>
          </cell>
          <cell r="Q7" t="str">
            <v>16,000</v>
          </cell>
          <cell r="R7" t="str">
            <v>16,000</v>
          </cell>
          <cell r="S7" t="str">
            <v>16,000</v>
          </cell>
          <cell r="T7" t="str">
            <v>16,000</v>
          </cell>
          <cell r="U7" t="str">
            <v>16,150</v>
          </cell>
          <cell r="V7" t="str">
            <v>16,150</v>
          </cell>
          <cell r="W7" t="str">
            <v>16,150</v>
          </cell>
          <cell r="X7" t="str">
            <v>16,150</v>
          </cell>
          <cell r="Y7" t="str">
            <v>16,150</v>
          </cell>
          <cell r="Z7" t="str">
            <v>16,150</v>
          </cell>
        </row>
        <row r="8">
          <cell r="A8" t="str">
            <v>6</v>
          </cell>
          <cell r="B8" t="str">
            <v>Beras Kualitas Super II</v>
          </cell>
          <cell r="C8" t="str">
            <v>14,250</v>
          </cell>
          <cell r="D8" t="str">
            <v>15,400</v>
          </cell>
          <cell r="E8" t="str">
            <v>16,750</v>
          </cell>
          <cell r="F8" t="str">
            <v>16,750</v>
          </cell>
          <cell r="G8" t="str">
            <v>15,650</v>
          </cell>
          <cell r="H8" t="str">
            <v>14,650</v>
          </cell>
          <cell r="I8" t="str">
            <v>15,150</v>
          </cell>
          <cell r="J8" t="str">
            <v>15,150</v>
          </cell>
          <cell r="K8" t="str">
            <v>14,900</v>
          </cell>
          <cell r="L8" t="str">
            <v>15,000</v>
          </cell>
          <cell r="M8" t="str">
            <v>15,000</v>
          </cell>
          <cell r="N8" t="str">
            <v>15,250</v>
          </cell>
          <cell r="O8" t="str">
            <v>-</v>
          </cell>
          <cell r="P8" t="str">
            <v>15,150</v>
          </cell>
          <cell r="Q8" t="str">
            <v>15,150</v>
          </cell>
          <cell r="R8" t="str">
            <v>15,150</v>
          </cell>
          <cell r="S8" t="str">
            <v>15,150</v>
          </cell>
          <cell r="T8" t="str">
            <v>15,150</v>
          </cell>
          <cell r="U8" t="str">
            <v>15,400</v>
          </cell>
          <cell r="V8" t="str">
            <v>15,400</v>
          </cell>
          <cell r="W8" t="str">
            <v>15,400</v>
          </cell>
          <cell r="X8" t="str">
            <v>15,400</v>
          </cell>
          <cell r="Y8" t="str">
            <v>15,400</v>
          </cell>
          <cell r="Z8" t="str">
            <v>15,400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workbookViewId="0">
      <pane ySplit="1" topLeftCell="A2" activePane="bottomLeft" state="frozen"/>
      <selection pane="bottomLeft" activeCell="C20" sqref="C20"/>
    </sheetView>
  </sheetViews>
  <sheetFormatPr defaultRowHeight="15" x14ac:dyDescent="0.25"/>
  <cols>
    <col min="1" max="1" width="6.42578125" customWidth="1"/>
    <col min="2" max="2" width="35" customWidth="1"/>
    <col min="3" max="25" width="8.140625" customWidth="1"/>
    <col min="26" max="26" width="8" customWidth="1"/>
  </cols>
  <sheetData>
    <row r="1" spans="1:2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32</v>
      </c>
      <c r="J2" s="3" t="s">
        <v>32</v>
      </c>
      <c r="K2" s="3" t="s">
        <v>32</v>
      </c>
      <c r="L2" s="3" t="s">
        <v>34</v>
      </c>
      <c r="M2" s="3" t="s">
        <v>34</v>
      </c>
      <c r="N2" s="3" t="s">
        <v>34</v>
      </c>
      <c r="O2" s="3" t="s">
        <v>34</v>
      </c>
      <c r="P2" s="3" t="s">
        <v>32</v>
      </c>
      <c r="Q2" s="3" t="s">
        <v>32</v>
      </c>
      <c r="R2" s="3" t="s">
        <v>32</v>
      </c>
      <c r="S2" s="3" t="s">
        <v>34</v>
      </c>
      <c r="T2" s="3" t="s">
        <v>34</v>
      </c>
      <c r="U2" s="3" t="s">
        <v>34</v>
      </c>
      <c r="V2" s="3" t="s">
        <v>35</v>
      </c>
      <c r="W2" s="3" t="s">
        <v>35</v>
      </c>
      <c r="X2" s="3" t="s">
        <v>36</v>
      </c>
      <c r="Y2" s="3" t="s">
        <v>36</v>
      </c>
      <c r="Z2" s="3" t="s">
        <v>36</v>
      </c>
    </row>
    <row r="3" spans="1:26" x14ac:dyDescent="0.25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36</v>
      </c>
      <c r="G3" s="3" t="s">
        <v>40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42</v>
      </c>
      <c r="S3" s="3" t="s">
        <v>43</v>
      </c>
      <c r="T3" s="3" t="s">
        <v>43</v>
      </c>
      <c r="U3" s="3" t="s">
        <v>43</v>
      </c>
      <c r="V3" s="3" t="s">
        <v>44</v>
      </c>
      <c r="W3" s="3" t="s">
        <v>44</v>
      </c>
      <c r="X3" s="3" t="s">
        <v>45</v>
      </c>
      <c r="Y3" s="3" t="s">
        <v>45</v>
      </c>
      <c r="Z3" s="3" t="s">
        <v>45</v>
      </c>
    </row>
    <row r="4" spans="1:26" x14ac:dyDescent="0.25">
      <c r="A4" s="3" t="s">
        <v>46</v>
      </c>
      <c r="B4" s="3" t="s">
        <v>47</v>
      </c>
      <c r="C4" s="3" t="s">
        <v>48</v>
      </c>
      <c r="D4" s="3" t="s">
        <v>49</v>
      </c>
      <c r="E4" s="3" t="s">
        <v>29</v>
      </c>
      <c r="F4" s="3" t="s">
        <v>50</v>
      </c>
      <c r="G4" s="3" t="s">
        <v>51</v>
      </c>
      <c r="H4" s="3" t="s">
        <v>48</v>
      </c>
      <c r="I4" s="3" t="s">
        <v>52</v>
      </c>
      <c r="J4" s="3" t="s">
        <v>52</v>
      </c>
      <c r="K4" s="3" t="s">
        <v>52</v>
      </c>
      <c r="L4" s="3" t="s">
        <v>52</v>
      </c>
      <c r="M4" s="3" t="s">
        <v>52</v>
      </c>
      <c r="N4" s="3" t="s">
        <v>52</v>
      </c>
      <c r="O4" s="3" t="s">
        <v>52</v>
      </c>
      <c r="P4" s="3" t="s">
        <v>49</v>
      </c>
      <c r="Q4" s="3" t="s">
        <v>49</v>
      </c>
      <c r="R4" s="3" t="s">
        <v>49</v>
      </c>
      <c r="S4" s="3" t="s">
        <v>52</v>
      </c>
      <c r="T4" s="3" t="s">
        <v>52</v>
      </c>
      <c r="U4" s="3" t="s">
        <v>52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</row>
    <row r="5" spans="1:26" x14ac:dyDescent="0.25">
      <c r="A5" s="3" t="s">
        <v>53</v>
      </c>
      <c r="B5" s="3" t="s">
        <v>54</v>
      </c>
      <c r="C5" s="3" t="s">
        <v>32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58</v>
      </c>
      <c r="J5" s="3" t="s">
        <v>58</v>
      </c>
      <c r="K5" s="3" t="s">
        <v>58</v>
      </c>
      <c r="L5" s="3" t="s">
        <v>58</v>
      </c>
      <c r="M5" s="3" t="s">
        <v>58</v>
      </c>
      <c r="N5" s="3" t="s">
        <v>58</v>
      </c>
      <c r="O5" s="3" t="s">
        <v>58</v>
      </c>
      <c r="P5" s="3" t="s">
        <v>58</v>
      </c>
      <c r="Q5" s="3" t="s">
        <v>58</v>
      </c>
      <c r="R5" s="3" t="s">
        <v>58</v>
      </c>
      <c r="S5" s="3" t="s">
        <v>58</v>
      </c>
      <c r="T5" s="3" t="s">
        <v>58</v>
      </c>
      <c r="U5" s="3" t="s">
        <v>58</v>
      </c>
      <c r="V5" s="3" t="s">
        <v>31</v>
      </c>
      <c r="W5" s="3" t="s">
        <v>31</v>
      </c>
      <c r="X5" s="3" t="s">
        <v>31</v>
      </c>
      <c r="Y5" s="3" t="s">
        <v>31</v>
      </c>
      <c r="Z5" s="3" t="s">
        <v>31</v>
      </c>
    </row>
    <row r="6" spans="1:26" x14ac:dyDescent="0.25">
      <c r="A6" s="3" t="s">
        <v>60</v>
      </c>
      <c r="B6" s="3" t="s">
        <v>61</v>
      </c>
      <c r="C6" s="3" t="s">
        <v>62</v>
      </c>
      <c r="D6" s="3" t="s">
        <v>29</v>
      </c>
      <c r="E6" s="3" t="s">
        <v>58</v>
      </c>
      <c r="F6" s="3" t="s">
        <v>63</v>
      </c>
      <c r="G6" s="3" t="s">
        <v>50</v>
      </c>
      <c r="H6" s="3" t="s">
        <v>29</v>
      </c>
      <c r="I6" s="3" t="s">
        <v>64</v>
      </c>
      <c r="J6" s="3" t="s">
        <v>64</v>
      </c>
      <c r="K6" s="3" t="s">
        <v>64</v>
      </c>
      <c r="L6" s="3" t="s">
        <v>64</v>
      </c>
      <c r="M6" s="3" t="s">
        <v>64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</row>
    <row r="7" spans="1:26" x14ac:dyDescent="0.25">
      <c r="A7" s="3" t="s">
        <v>65</v>
      </c>
      <c r="B7" s="3" t="s">
        <v>66</v>
      </c>
      <c r="C7" s="3" t="s">
        <v>67</v>
      </c>
      <c r="D7" s="3" t="s">
        <v>58</v>
      </c>
      <c r="E7" s="3" t="s">
        <v>68</v>
      </c>
      <c r="F7" s="3" t="s">
        <v>68</v>
      </c>
      <c r="G7" s="3" t="s">
        <v>63</v>
      </c>
      <c r="H7" s="3" t="s">
        <v>63</v>
      </c>
      <c r="I7" s="3" t="s">
        <v>69</v>
      </c>
      <c r="J7" s="3" t="s">
        <v>69</v>
      </c>
      <c r="K7" s="3" t="s">
        <v>69</v>
      </c>
      <c r="L7" s="3" t="s">
        <v>63</v>
      </c>
      <c r="M7" s="3" t="s">
        <v>63</v>
      </c>
      <c r="N7" s="3" t="s">
        <v>63</v>
      </c>
      <c r="O7" s="3" t="s">
        <v>63</v>
      </c>
      <c r="P7" s="3" t="s">
        <v>63</v>
      </c>
      <c r="Q7" s="3" t="s">
        <v>63</v>
      </c>
      <c r="R7" s="3" t="s">
        <v>63</v>
      </c>
      <c r="S7" s="3" t="s">
        <v>63</v>
      </c>
      <c r="T7" s="3" t="s">
        <v>63</v>
      </c>
      <c r="U7" s="3" t="s">
        <v>63</v>
      </c>
      <c r="V7" s="3" t="s">
        <v>70</v>
      </c>
      <c r="W7" s="3" t="s">
        <v>70</v>
      </c>
      <c r="X7" s="3" t="s">
        <v>70</v>
      </c>
      <c r="Y7" s="3" t="s">
        <v>70</v>
      </c>
      <c r="Z7" s="3" t="s">
        <v>70</v>
      </c>
    </row>
    <row r="8" spans="1:26" x14ac:dyDescent="0.25">
      <c r="A8" s="3" t="s">
        <v>71</v>
      </c>
      <c r="B8" s="3" t="s">
        <v>72</v>
      </c>
      <c r="C8" s="3" t="s">
        <v>73</v>
      </c>
      <c r="D8" s="3" t="s">
        <v>41</v>
      </c>
      <c r="E8" s="3" t="s">
        <v>56</v>
      </c>
      <c r="F8" s="3" t="s">
        <v>56</v>
      </c>
      <c r="G8" s="3" t="s">
        <v>55</v>
      </c>
      <c r="H8" s="3" t="s">
        <v>55</v>
      </c>
      <c r="I8" s="3" t="s">
        <v>74</v>
      </c>
      <c r="J8" s="3" t="s">
        <v>74</v>
      </c>
      <c r="K8" s="3" t="s">
        <v>74</v>
      </c>
      <c r="L8" s="3" t="s">
        <v>74</v>
      </c>
      <c r="M8" s="3" t="s">
        <v>74</v>
      </c>
      <c r="N8" s="3" t="s">
        <v>74</v>
      </c>
      <c r="O8" s="3" t="s">
        <v>74</v>
      </c>
      <c r="P8" s="3" t="s">
        <v>74</v>
      </c>
      <c r="Q8" s="3" t="s">
        <v>74</v>
      </c>
      <c r="R8" s="3" t="s">
        <v>74</v>
      </c>
      <c r="S8" s="3" t="s">
        <v>74</v>
      </c>
      <c r="T8" s="3" t="s">
        <v>74</v>
      </c>
      <c r="U8" s="3" t="s">
        <v>74</v>
      </c>
      <c r="V8" s="3" t="s">
        <v>75</v>
      </c>
      <c r="W8" s="3" t="s">
        <v>75</v>
      </c>
      <c r="X8" s="3" t="s">
        <v>75</v>
      </c>
      <c r="Y8" s="3" t="s">
        <v>75</v>
      </c>
      <c r="Z8" s="3" t="s">
        <v>75</v>
      </c>
    </row>
    <row r="11" spans="1:26" x14ac:dyDescent="0.25">
      <c r="A11" s="1"/>
      <c r="B11" s="1"/>
      <c r="C11" s="1"/>
    </row>
    <row r="12" spans="1:26" x14ac:dyDescent="0.25">
      <c r="A12" s="1"/>
      <c r="B12" s="1"/>
      <c r="C12" s="1"/>
    </row>
  </sheetData>
  <pageMargins left="0.7" right="0.7" top="0.75" bottom="0.75" header="0.3" footer="0.3"/>
  <ignoredErrors>
    <ignoredError sqref="A1:Z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413B-3D7A-4428-AEA4-39733015E7F3}">
  <dimension ref="A1:Z14"/>
  <sheetViews>
    <sheetView workbookViewId="0">
      <selection activeCell="D22" sqref="D22"/>
    </sheetView>
  </sheetViews>
  <sheetFormatPr defaultRowHeight="15" x14ac:dyDescent="0.25"/>
  <cols>
    <col min="1" max="1" width="5.7109375" customWidth="1"/>
    <col min="2" max="2" width="29.42578125" customWidth="1"/>
  </cols>
  <sheetData>
    <row r="1" spans="1:26" ht="30" x14ac:dyDescent="0.25">
      <c r="A1" s="6" t="str">
        <f>[1]Sheet!A1</f>
        <v>No</v>
      </c>
      <c r="B1" s="6" t="str">
        <f>[1]Sheet!B1</f>
        <v>Komoditas (Rp)</v>
      </c>
      <c r="C1" s="6" t="str">
        <f>[1]Sheet!C1</f>
        <v>01/ 01/ 2024</v>
      </c>
      <c r="D1" s="6" t="str">
        <f>[1]Sheet!D1</f>
        <v>01/ 02/ 2024</v>
      </c>
      <c r="E1" s="6" t="str">
        <f>[1]Sheet!E1</f>
        <v>01/ 03/ 2024</v>
      </c>
      <c r="F1" s="6" t="str">
        <f>[1]Sheet!F1</f>
        <v>01/ 04/ 2024</v>
      </c>
      <c r="G1" s="6" t="str">
        <f>[1]Sheet!G1</f>
        <v>01/ 05/ 2024</v>
      </c>
      <c r="H1" s="6" t="str">
        <f>[1]Sheet!H1</f>
        <v>03/ 06/ 2024</v>
      </c>
      <c r="I1" s="6" t="str">
        <f>[1]Sheet!I1</f>
        <v>01/ 07/ 2024</v>
      </c>
      <c r="J1" s="6" t="str">
        <f>[1]Sheet!J1</f>
        <v>01/ 08/ 2024</v>
      </c>
      <c r="K1" s="6" t="str">
        <f>[1]Sheet!K1</f>
        <v>02/ 09/ 2024</v>
      </c>
      <c r="L1" s="6" t="str">
        <f>[1]Sheet!L1</f>
        <v>01/ 10/ 2024</v>
      </c>
      <c r="M1" s="6" t="str">
        <f>[1]Sheet!M1</f>
        <v>01/ 11/ 2024</v>
      </c>
      <c r="N1" s="6" t="str">
        <f>[1]Sheet!N1</f>
        <v>02/ 12/ 2024</v>
      </c>
      <c r="O1" s="6" t="str">
        <f>[1]Sheet!O1</f>
        <v>01/ 01/ 2025</v>
      </c>
      <c r="P1" s="6" t="str">
        <f>[1]Sheet!P1</f>
        <v>03/ 02/ 2025</v>
      </c>
      <c r="Q1" s="6" t="str">
        <f>[1]Sheet!Q1</f>
        <v>03/ 03/ 2025</v>
      </c>
      <c r="R1" s="6" t="str">
        <f>[1]Sheet!R1</f>
        <v>01/ 04/ 2025</v>
      </c>
      <c r="S1" s="6" t="str">
        <f>[1]Sheet!S1</f>
        <v>01/ 05/ 2025</v>
      </c>
      <c r="T1" s="6" t="str">
        <f>[1]Sheet!T1</f>
        <v>02/ 06/ 2025</v>
      </c>
      <c r="U1" s="6" t="str">
        <f>[1]Sheet!U1</f>
        <v>01/ 07/ 2025</v>
      </c>
      <c r="V1" s="6" t="str">
        <f>[1]Sheet!V1</f>
        <v>01/ 08/ 2025</v>
      </c>
      <c r="W1" s="6" t="str">
        <f>[1]Sheet!W1</f>
        <v>01/ 09/ 2025</v>
      </c>
      <c r="X1" s="6" t="str">
        <f>[1]Sheet!X1</f>
        <v>01/ 10/ 2025</v>
      </c>
      <c r="Y1" s="6" t="str">
        <f>[1]Sheet!Y1</f>
        <v>03/ 11/ 2025</v>
      </c>
      <c r="Z1" s="6" t="str">
        <f>[1]Sheet!Z1</f>
        <v>01/ 12/ 2025</v>
      </c>
    </row>
    <row r="2" spans="1:26" x14ac:dyDescent="0.25">
      <c r="A2" s="6" t="str">
        <f>[1]Sheet!A2</f>
        <v>I</v>
      </c>
      <c r="B2" s="6" t="str">
        <f>[1]Sheet!B2</f>
        <v>Beras</v>
      </c>
      <c r="C2" s="6" t="str">
        <f>[1]Sheet!C2</f>
        <v>14,200</v>
      </c>
      <c r="D2" s="6" t="str">
        <f>[1]Sheet!D2</f>
        <v>14,900</v>
      </c>
      <c r="E2" s="6" t="str">
        <f>[1]Sheet!E2</f>
        <v>15,950</v>
      </c>
      <c r="F2" s="6" t="str">
        <f>[1]Sheet!F2</f>
        <v>15,800</v>
      </c>
      <c r="G2" s="6" t="str">
        <f>[1]Sheet!G2</f>
        <v>14,950</v>
      </c>
      <c r="H2" s="6" t="str">
        <f>[1]Sheet!H2</f>
        <v>14,400</v>
      </c>
      <c r="I2" s="6" t="str">
        <f>[1]Sheet!I2</f>
        <v>14,650</v>
      </c>
      <c r="J2" s="6" t="str">
        <f>[1]Sheet!J2</f>
        <v>14,700</v>
      </c>
      <c r="K2" s="6" t="str">
        <f>[1]Sheet!K2</f>
        <v>14,650</v>
      </c>
      <c r="L2" s="6" t="str">
        <f>[1]Sheet!L2</f>
        <v>14,650</v>
      </c>
      <c r="M2" s="6" t="str">
        <f>[1]Sheet!M2</f>
        <v>14,600</v>
      </c>
      <c r="N2" s="6" t="str">
        <f>[1]Sheet!N2</f>
        <v>14,600</v>
      </c>
      <c r="O2" s="6" t="str">
        <f>[1]Sheet!O2</f>
        <v>14,850</v>
      </c>
      <c r="P2" s="6" t="str">
        <f>[1]Sheet!P2</f>
        <v>14,650</v>
      </c>
      <c r="Q2" s="6" t="str">
        <f>[1]Sheet!Q2</f>
        <v>14,450</v>
      </c>
      <c r="R2" s="6" t="str">
        <f>[1]Sheet!R2</f>
        <v>14,650</v>
      </c>
      <c r="S2" s="6" t="str">
        <f>[1]Sheet!S2</f>
        <v>14,650</v>
      </c>
      <c r="T2" s="6" t="str">
        <f>[1]Sheet!T2</f>
        <v>14,650</v>
      </c>
      <c r="U2" s="6" t="str">
        <f>[1]Sheet!U2</f>
        <v>14,850</v>
      </c>
      <c r="V2" s="6" t="str">
        <f>[1]Sheet!V2</f>
        <v>14,850</v>
      </c>
      <c r="W2" s="6" t="str">
        <f>[1]Sheet!W2</f>
        <v>14,850</v>
      </c>
      <c r="X2" s="6" t="str">
        <f>[1]Sheet!X2</f>
        <v>14,850</v>
      </c>
      <c r="Y2" s="6" t="str">
        <f>[1]Sheet!Y2</f>
        <v>14,750</v>
      </c>
      <c r="Z2" s="6" t="str">
        <f>[1]Sheet!Z2</f>
        <v>14,750</v>
      </c>
    </row>
    <row r="3" spans="1:26" x14ac:dyDescent="0.25">
      <c r="A3" s="6" t="str">
        <f>[1]Sheet!A3</f>
        <v>1</v>
      </c>
      <c r="B3" s="6" t="str">
        <f>[1]Sheet!B3</f>
        <v>Beras Kualitas Bawah I</v>
      </c>
      <c r="C3" s="6" t="str">
        <f>[1]Sheet!C3</f>
        <v>13,400</v>
      </c>
      <c r="D3" s="6" t="str">
        <f>[1]Sheet!D3</f>
        <v>14,100</v>
      </c>
      <c r="E3" s="6" t="str">
        <f>[1]Sheet!E3</f>
        <v>15,300</v>
      </c>
      <c r="F3" s="6" t="str">
        <f>[1]Sheet!F3</f>
        <v>14,900</v>
      </c>
      <c r="G3" s="6" t="str">
        <f>[1]Sheet!G3</f>
        <v>13,950</v>
      </c>
      <c r="H3" s="6" t="str">
        <f>[1]Sheet!H3</f>
        <v>13,300</v>
      </c>
      <c r="I3" s="6" t="str">
        <f>[1]Sheet!I3</f>
        <v>13,550</v>
      </c>
      <c r="J3" s="6" t="str">
        <f>[1]Sheet!J3</f>
        <v>13,650</v>
      </c>
      <c r="K3" s="6" t="str">
        <f>[1]Sheet!K3</f>
        <v>13,600</v>
      </c>
      <c r="L3" s="6" t="str">
        <f>[1]Sheet!L3</f>
        <v>13,600</v>
      </c>
      <c r="M3" s="6" t="str">
        <f>[1]Sheet!M3</f>
        <v>13,600</v>
      </c>
      <c r="N3" s="6" t="str">
        <f>[1]Sheet!N3</f>
        <v>13,600</v>
      </c>
      <c r="O3" s="6" t="str">
        <f>[1]Sheet!O3</f>
        <v>13,650</v>
      </c>
      <c r="P3" s="6" t="str">
        <f>[1]Sheet!P3</f>
        <v>13,650</v>
      </c>
      <c r="Q3" s="6" t="str">
        <f>[1]Sheet!Q3</f>
        <v>13,500</v>
      </c>
      <c r="R3" s="6" t="str">
        <f>[1]Sheet!R3</f>
        <v>13,600</v>
      </c>
      <c r="S3" s="6" t="str">
        <f>[1]Sheet!S3</f>
        <v>13,600</v>
      </c>
      <c r="T3" s="6" t="str">
        <f>[1]Sheet!T3</f>
        <v>13,600</v>
      </c>
      <c r="U3" s="6" t="str">
        <f>[1]Sheet!U3</f>
        <v>13,950</v>
      </c>
      <c r="V3" s="6" t="str">
        <f>[1]Sheet!V3</f>
        <v>13,950</v>
      </c>
      <c r="W3" s="6" t="str">
        <f>[1]Sheet!W3</f>
        <v>13,950</v>
      </c>
      <c r="X3" s="6" t="str">
        <f>[1]Sheet!X3</f>
        <v>13,950</v>
      </c>
      <c r="Y3" s="6" t="str">
        <f>[1]Sheet!Y3</f>
        <v>13,850</v>
      </c>
      <c r="Z3" s="6" t="str">
        <f>[1]Sheet!Z3</f>
        <v>13,850</v>
      </c>
    </row>
    <row r="4" spans="1:26" x14ac:dyDescent="0.25">
      <c r="A4" s="6" t="str">
        <f>[1]Sheet!A4</f>
        <v>2</v>
      </c>
      <c r="B4" s="6" t="str">
        <f>[1]Sheet!B4</f>
        <v>Beras Kualitas Bawah II</v>
      </c>
      <c r="C4" s="6" t="str">
        <f>[1]Sheet!C4</f>
        <v>13,100</v>
      </c>
      <c r="D4" s="6" t="str">
        <f>[1]Sheet!D4</f>
        <v>13,700</v>
      </c>
      <c r="E4" s="6" t="str">
        <f>[1]Sheet!E4</f>
        <v>14,800</v>
      </c>
      <c r="F4" s="6" t="str">
        <f>[1]Sheet!F4</f>
        <v>14,250</v>
      </c>
      <c r="G4" s="6" t="str">
        <f>[1]Sheet!G4</f>
        <v>13,450</v>
      </c>
      <c r="H4" s="6" t="str">
        <f>[1]Sheet!H4</f>
        <v>12,650</v>
      </c>
      <c r="I4" s="6" t="str">
        <f>[1]Sheet!I4</f>
        <v>12,950</v>
      </c>
      <c r="J4" s="6" t="str">
        <f>[1]Sheet!J4</f>
        <v>13,150</v>
      </c>
      <c r="K4" s="6" t="str">
        <f>[1]Sheet!K4</f>
        <v>12,950</v>
      </c>
      <c r="L4" s="6" t="str">
        <f>[1]Sheet!L4</f>
        <v>13,000</v>
      </c>
      <c r="M4" s="6" t="str">
        <f>[1]Sheet!M4</f>
        <v>12,900</v>
      </c>
      <c r="N4" s="6" t="str">
        <f>[1]Sheet!N4</f>
        <v>12,900</v>
      </c>
      <c r="O4" s="6" t="str">
        <f>[1]Sheet!O4</f>
        <v>13,000</v>
      </c>
      <c r="P4" s="6" t="str">
        <f>[1]Sheet!P4</f>
        <v>13,100</v>
      </c>
      <c r="Q4" s="6" t="str">
        <f>[1]Sheet!Q4</f>
        <v>13,000</v>
      </c>
      <c r="R4" s="6" t="str">
        <f>[1]Sheet!R4</f>
        <v>13,000</v>
      </c>
      <c r="S4" s="6" t="str">
        <f>[1]Sheet!S4</f>
        <v>13,000</v>
      </c>
      <c r="T4" s="6" t="str">
        <f>[1]Sheet!T4</f>
        <v>13,000</v>
      </c>
      <c r="U4" s="6" t="str">
        <f>[1]Sheet!U4</f>
        <v>13,400</v>
      </c>
      <c r="V4" s="6" t="str">
        <f>[1]Sheet!V4</f>
        <v>13,400</v>
      </c>
      <c r="W4" s="6" t="str">
        <f>[1]Sheet!W4</f>
        <v>13,400</v>
      </c>
      <c r="X4" s="6" t="str">
        <f>[1]Sheet!X4</f>
        <v>13,400</v>
      </c>
      <c r="Y4" s="6" t="str">
        <f>[1]Sheet!Y4</f>
        <v>13,250</v>
      </c>
      <c r="Z4" s="6" t="str">
        <f>[1]Sheet!Z4</f>
        <v>13,250</v>
      </c>
    </row>
    <row r="5" spans="1:26" x14ac:dyDescent="0.25">
      <c r="A5" s="6" t="str">
        <f>[1]Sheet!A5</f>
        <v>3</v>
      </c>
      <c r="B5" s="6" t="str">
        <f>[1]Sheet!B5</f>
        <v>Beras Kualitas Medium I</v>
      </c>
      <c r="C5" s="6" t="str">
        <f>[1]Sheet!C5</f>
        <v>14,500</v>
      </c>
      <c r="D5" s="6" t="str">
        <f>[1]Sheet!D5</f>
        <v>15,300</v>
      </c>
      <c r="E5" s="6" t="str">
        <f>[1]Sheet!E5</f>
        <v>16,250</v>
      </c>
      <c r="F5" s="6" t="str">
        <f>[1]Sheet!F5</f>
        <v>16,100</v>
      </c>
      <c r="G5" s="6" t="str">
        <f>[1]Sheet!G5</f>
        <v>15,350</v>
      </c>
      <c r="H5" s="6" t="str">
        <f>[1]Sheet!H5</f>
        <v>14,850</v>
      </c>
      <c r="I5" s="6" t="str">
        <f>[1]Sheet!I5</f>
        <v>15,100</v>
      </c>
      <c r="J5" s="6" t="str">
        <f>[1]Sheet!J5</f>
        <v>15,150</v>
      </c>
      <c r="K5" s="6" t="str">
        <f>[1]Sheet!K5</f>
        <v>15,100</v>
      </c>
      <c r="L5" s="6" t="str">
        <f>[1]Sheet!L5</f>
        <v>15,100</v>
      </c>
      <c r="M5" s="6" t="str">
        <f>[1]Sheet!M5</f>
        <v>15,100</v>
      </c>
      <c r="N5" s="6" t="str">
        <f>[1]Sheet!N5</f>
        <v>15,000</v>
      </c>
      <c r="O5" s="6" t="str">
        <f>[1]Sheet!O5</f>
        <v>15,500</v>
      </c>
      <c r="P5" s="6" t="str">
        <f>[1]Sheet!P5</f>
        <v>15,100</v>
      </c>
      <c r="Q5" s="6" t="str">
        <f>[1]Sheet!Q5</f>
        <v>15,000</v>
      </c>
      <c r="R5" s="6" t="str">
        <f>[1]Sheet!R5</f>
        <v>15,000</v>
      </c>
      <c r="S5" s="6" t="str">
        <f>[1]Sheet!S5</f>
        <v>15,000</v>
      </c>
      <c r="T5" s="6" t="str">
        <f>[1]Sheet!T5</f>
        <v>15,000</v>
      </c>
      <c r="U5" s="6" t="str">
        <f>[1]Sheet!U5</f>
        <v>15,150</v>
      </c>
      <c r="V5" s="6" t="str">
        <f>[1]Sheet!V5</f>
        <v>15,150</v>
      </c>
      <c r="W5" s="6" t="str">
        <f>[1]Sheet!W5</f>
        <v>15,150</v>
      </c>
      <c r="X5" s="6" t="str">
        <f>[1]Sheet!X5</f>
        <v>15,150</v>
      </c>
      <c r="Y5" s="6" t="str">
        <f>[1]Sheet!Y5</f>
        <v>14,950</v>
      </c>
      <c r="Z5" s="6" t="str">
        <f>[1]Sheet!Z5</f>
        <v>14,950</v>
      </c>
    </row>
    <row r="6" spans="1:26" x14ac:dyDescent="0.25">
      <c r="A6" s="6" t="str">
        <f>[1]Sheet!A6</f>
        <v>4</v>
      </c>
      <c r="B6" s="6" t="str">
        <f>[1]Sheet!B6</f>
        <v>Beras Kualitas Medium II</v>
      </c>
      <c r="C6" s="6" t="str">
        <f>[1]Sheet!C6</f>
        <v>13,900</v>
      </c>
      <c r="D6" s="6" t="str">
        <f>[1]Sheet!D6</f>
        <v>14,700</v>
      </c>
      <c r="E6" s="6" t="str">
        <f>[1]Sheet!E6</f>
        <v>15,700</v>
      </c>
      <c r="F6" s="6" t="str">
        <f>[1]Sheet!F6</f>
        <v>15,450</v>
      </c>
      <c r="G6" s="6" t="str">
        <f>[1]Sheet!G6</f>
        <v>14,500</v>
      </c>
      <c r="H6" s="6" t="str">
        <f>[1]Sheet!H6</f>
        <v>14,050</v>
      </c>
      <c r="I6" s="6" t="str">
        <f>[1]Sheet!I6</f>
        <v>14,300</v>
      </c>
      <c r="J6" s="6" t="str">
        <f>[1]Sheet!J6</f>
        <v>14,350</v>
      </c>
      <c r="K6" s="6" t="str">
        <f>[1]Sheet!K6</f>
        <v>14,250</v>
      </c>
      <c r="L6" s="6" t="str">
        <f>[1]Sheet!L6</f>
        <v>14,250</v>
      </c>
      <c r="M6" s="6" t="str">
        <f>[1]Sheet!M6</f>
        <v>14,250</v>
      </c>
      <c r="N6" s="6" t="str">
        <f>[1]Sheet!N6</f>
        <v>14,200</v>
      </c>
      <c r="O6" s="6" t="str">
        <f>[1]Sheet!O6</f>
        <v>14,400</v>
      </c>
      <c r="P6" s="6" t="str">
        <f>[1]Sheet!P6</f>
        <v>14,300</v>
      </c>
      <c r="Q6" s="6" t="str">
        <f>[1]Sheet!Q6</f>
        <v>14,250</v>
      </c>
      <c r="R6" s="6" t="str">
        <f>[1]Sheet!R6</f>
        <v>14,200</v>
      </c>
      <c r="S6" s="6" t="str">
        <f>[1]Sheet!S6</f>
        <v>14,200</v>
      </c>
      <c r="T6" s="6" t="str">
        <f>[1]Sheet!T6</f>
        <v>14,200</v>
      </c>
      <c r="U6" s="6" t="str">
        <f>[1]Sheet!U6</f>
        <v>14,350</v>
      </c>
      <c r="V6" s="6" t="str">
        <f>[1]Sheet!V6</f>
        <v>14,350</v>
      </c>
      <c r="W6" s="6" t="str">
        <f>[1]Sheet!W6</f>
        <v>14,350</v>
      </c>
      <c r="X6" s="6" t="str">
        <f>[1]Sheet!X6</f>
        <v>14,350</v>
      </c>
      <c r="Y6" s="6" t="str">
        <f>[1]Sheet!Y6</f>
        <v>14,150</v>
      </c>
      <c r="Z6" s="6" t="str">
        <f>[1]Sheet!Z6</f>
        <v>14,150</v>
      </c>
    </row>
    <row r="7" spans="1:26" x14ac:dyDescent="0.25">
      <c r="A7" s="6" t="str">
        <f>[1]Sheet!A7</f>
        <v>5</v>
      </c>
      <c r="B7" s="6" t="str">
        <f>[1]Sheet!B7</f>
        <v>Beras Kualitas Super I</v>
      </c>
      <c r="C7" s="6" t="str">
        <f>[1]Sheet!C7</f>
        <v>15,500</v>
      </c>
      <c r="D7" s="6" t="str">
        <f>[1]Sheet!D7</f>
        <v>16,300</v>
      </c>
      <c r="E7" s="6" t="str">
        <f>[1]Sheet!E7</f>
        <v>17,400</v>
      </c>
      <c r="F7" s="6" t="str">
        <f>[1]Sheet!F7</f>
        <v>17,500</v>
      </c>
      <c r="G7" s="6" t="str">
        <f>[1]Sheet!G7</f>
        <v>16,850</v>
      </c>
      <c r="H7" s="6" t="str">
        <f>[1]Sheet!H7</f>
        <v>16,450</v>
      </c>
      <c r="I7" s="6" t="str">
        <f>[1]Sheet!I7</f>
        <v>16,600</v>
      </c>
      <c r="J7" s="6" t="str">
        <f>[1]Sheet!J7</f>
        <v>16,600</v>
      </c>
      <c r="K7" s="6" t="str">
        <f>[1]Sheet!K7</f>
        <v>16,650</v>
      </c>
      <c r="L7" s="6" t="str">
        <f>[1]Sheet!L7</f>
        <v>16,600</v>
      </c>
      <c r="M7" s="6" t="str">
        <f>[1]Sheet!M7</f>
        <v>16,600</v>
      </c>
      <c r="N7" s="6" t="str">
        <f>[1]Sheet!N7</f>
        <v>16,550</v>
      </c>
      <c r="O7" s="6" t="str">
        <f>[1]Sheet!O7</f>
        <v>17,150</v>
      </c>
      <c r="P7" s="6" t="str">
        <f>[1]Sheet!P7</f>
        <v>16,600</v>
      </c>
      <c r="Q7" s="6" t="str">
        <f>[1]Sheet!Q7</f>
        <v>15,900</v>
      </c>
      <c r="R7" s="6" t="str">
        <f>[1]Sheet!R7</f>
        <v>16,700</v>
      </c>
      <c r="S7" s="6" t="str">
        <f>[1]Sheet!S7</f>
        <v>16,700</v>
      </c>
      <c r="T7" s="6" t="str">
        <f>[1]Sheet!T7</f>
        <v>16,700</v>
      </c>
      <c r="U7" s="6" t="str">
        <f>[1]Sheet!U7</f>
        <v>16,800</v>
      </c>
      <c r="V7" s="6" t="str">
        <f>[1]Sheet!V7</f>
        <v>16,800</v>
      </c>
      <c r="W7" s="6" t="str">
        <f>[1]Sheet!W7</f>
        <v>16,800</v>
      </c>
      <c r="X7" s="6" t="str">
        <f>[1]Sheet!X7</f>
        <v>16,800</v>
      </c>
      <c r="Y7" s="6" t="str">
        <f>[1]Sheet!Y7</f>
        <v>16,800</v>
      </c>
      <c r="Z7" s="6" t="str">
        <f>[1]Sheet!Z7</f>
        <v>16,800</v>
      </c>
    </row>
    <row r="8" spans="1:26" x14ac:dyDescent="0.25">
      <c r="A8" s="6" t="str">
        <f>[1]Sheet!A8</f>
        <v>6</v>
      </c>
      <c r="B8" s="6" t="str">
        <f>[1]Sheet!B8</f>
        <v>Beras Kualitas Super II</v>
      </c>
      <c r="C8" s="6" t="str">
        <f>[1]Sheet!C8</f>
        <v>14,600</v>
      </c>
      <c r="D8" s="6" t="str">
        <f>[1]Sheet!D8</f>
        <v>15,400</v>
      </c>
      <c r="E8" s="6" t="str">
        <f>[1]Sheet!E8</f>
        <v>16,400</v>
      </c>
      <c r="F8" s="6" t="str">
        <f>[1]Sheet!F8</f>
        <v>16,400</v>
      </c>
      <c r="G8" s="6" t="str">
        <f>[1]Sheet!G8</f>
        <v>15,650</v>
      </c>
      <c r="H8" s="6" t="str">
        <f>[1]Sheet!H8</f>
        <v>15,100</v>
      </c>
      <c r="I8" s="6" t="str">
        <f>[1]Sheet!I8</f>
        <v>15,350</v>
      </c>
      <c r="J8" s="6" t="str">
        <f>[1]Sheet!J8</f>
        <v>15,350</v>
      </c>
      <c r="K8" s="6" t="str">
        <f>[1]Sheet!K8</f>
        <v>15,200</v>
      </c>
      <c r="L8" s="6" t="str">
        <f>[1]Sheet!L8</f>
        <v>15,250</v>
      </c>
      <c r="M8" s="6" t="str">
        <f>[1]Sheet!M8</f>
        <v>15,250</v>
      </c>
      <c r="N8" s="6" t="str">
        <f>[1]Sheet!N8</f>
        <v>15,250</v>
      </c>
      <c r="O8" s="6" t="str">
        <f>[1]Sheet!O8</f>
        <v>15,250</v>
      </c>
      <c r="P8" s="6" t="str">
        <f>[1]Sheet!P8</f>
        <v>15,200</v>
      </c>
      <c r="Q8" s="6" t="str">
        <f>[1]Sheet!Q8</f>
        <v>15,100</v>
      </c>
      <c r="R8" s="6" t="str">
        <f>[1]Sheet!R8</f>
        <v>15,350</v>
      </c>
      <c r="S8" s="6" t="str">
        <f>[1]Sheet!S8</f>
        <v>15,350</v>
      </c>
      <c r="T8" s="6" t="str">
        <f>[1]Sheet!T8</f>
        <v>15,350</v>
      </c>
      <c r="U8" s="6" t="str">
        <f>[1]Sheet!U8</f>
        <v>15,450</v>
      </c>
      <c r="V8" s="6" t="str">
        <f>[1]Sheet!V8</f>
        <v>15,450</v>
      </c>
      <c r="W8" s="6" t="str">
        <f>[1]Sheet!W8</f>
        <v>15,450</v>
      </c>
      <c r="X8" s="6" t="str">
        <f>[1]Sheet!X8</f>
        <v>15,450</v>
      </c>
      <c r="Y8" s="6" t="str">
        <f>[1]Sheet!Y8</f>
        <v>15,450</v>
      </c>
      <c r="Z8" s="6" t="str">
        <f>[1]Sheet!Z8</f>
        <v>15,450</v>
      </c>
    </row>
    <row r="11" spans="1:26" x14ac:dyDescent="0.25">
      <c r="E11" s="5"/>
    </row>
    <row r="14" spans="1:26" x14ac:dyDescent="0.25">
      <c r="B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8BEF-D072-49C2-9FEB-9BFB07EBD7AF}">
  <dimension ref="A1:Z17"/>
  <sheetViews>
    <sheetView workbookViewId="0">
      <selection activeCell="D16" sqref="D16"/>
    </sheetView>
  </sheetViews>
  <sheetFormatPr defaultRowHeight="15" x14ac:dyDescent="0.25"/>
  <cols>
    <col min="1" max="1" width="5" customWidth="1"/>
    <col min="2" max="2" width="24.28515625" customWidth="1"/>
  </cols>
  <sheetData>
    <row r="1" spans="1:26" ht="30" x14ac:dyDescent="0.25">
      <c r="A1" s="6" t="str">
        <f>[2]Sheet!A1</f>
        <v>No</v>
      </c>
      <c r="B1" s="6" t="str">
        <f>[2]Sheet!B1</f>
        <v>Komoditas (Rp)</v>
      </c>
      <c r="C1" s="6" t="str">
        <f>[2]Sheet!C1</f>
        <v>01/ 01/ 2024</v>
      </c>
      <c r="D1" s="6" t="str">
        <f>[2]Sheet!D1</f>
        <v>01/ 02/ 2024</v>
      </c>
      <c r="E1" s="6" t="str">
        <f>[2]Sheet!E1</f>
        <v>01/ 03/ 2024</v>
      </c>
      <c r="F1" s="6" t="str">
        <f>[2]Sheet!F1</f>
        <v>01/ 04/ 2024</v>
      </c>
      <c r="G1" s="6" t="str">
        <f>[2]Sheet!G1</f>
        <v>01/ 05/ 2024</v>
      </c>
      <c r="H1" s="6" t="str">
        <f>[2]Sheet!H1</f>
        <v>03/ 06/ 2024</v>
      </c>
      <c r="I1" s="6" t="str">
        <f>[2]Sheet!I1</f>
        <v>01/ 07/ 2024</v>
      </c>
      <c r="J1" s="6" t="str">
        <f>[2]Sheet!J1</f>
        <v>01/ 08/ 2024</v>
      </c>
      <c r="K1" s="6" t="str">
        <f>[2]Sheet!K1</f>
        <v>02/ 09/ 2024</v>
      </c>
      <c r="L1" s="6" t="str">
        <f>[2]Sheet!L1</f>
        <v>01/ 10/ 2024</v>
      </c>
      <c r="M1" s="6" t="str">
        <f>[2]Sheet!M1</f>
        <v>01/ 11/ 2024</v>
      </c>
      <c r="N1" s="6" t="str">
        <f>[2]Sheet!N1</f>
        <v>02/ 12/ 2024</v>
      </c>
      <c r="O1" s="6" t="str">
        <f>[2]Sheet!O1</f>
        <v>01/ 01/ 2025</v>
      </c>
      <c r="P1" s="6" t="str">
        <f>[2]Sheet!P1</f>
        <v>03/ 02/ 2025</v>
      </c>
      <c r="Q1" s="6" t="str">
        <f>[2]Sheet!Q1</f>
        <v>03/ 03/ 2025</v>
      </c>
      <c r="R1" s="6" t="str">
        <f>[2]Sheet!R1</f>
        <v>01/ 04/ 2025</v>
      </c>
      <c r="S1" s="6" t="str">
        <f>[2]Sheet!S1</f>
        <v>01/ 05/ 2025</v>
      </c>
      <c r="T1" s="6" t="str">
        <f>[2]Sheet!T1</f>
        <v>02/ 06/ 2025</v>
      </c>
      <c r="U1" s="6" t="str">
        <f>[2]Sheet!U1</f>
        <v>01/ 07/ 2025</v>
      </c>
      <c r="V1" s="6" t="str">
        <f>[2]Sheet!V1</f>
        <v>01/ 08/ 2025</v>
      </c>
      <c r="W1" s="6" t="str">
        <f>[2]Sheet!W1</f>
        <v>01/ 09/ 2025</v>
      </c>
      <c r="X1" s="6" t="str">
        <f>[2]Sheet!X1</f>
        <v>01/ 10/ 2025</v>
      </c>
      <c r="Y1" s="6" t="str">
        <f>[2]Sheet!Y1</f>
        <v>03/ 11/ 2025</v>
      </c>
      <c r="Z1" s="6" t="str">
        <f>[2]Sheet!Z1</f>
        <v>01/ 12/ 2025</v>
      </c>
    </row>
    <row r="2" spans="1:26" x14ac:dyDescent="0.25">
      <c r="A2" s="6" t="str">
        <f>[2]Sheet!A2</f>
        <v>I</v>
      </c>
      <c r="B2" s="6" t="str">
        <f>[2]Sheet!B2</f>
        <v>Beras</v>
      </c>
      <c r="C2" s="6" t="str">
        <f>[2]Sheet!C2</f>
        <v>14,500</v>
      </c>
      <c r="D2" s="6" t="str">
        <f>[2]Sheet!D2</f>
        <v>15,100</v>
      </c>
      <c r="E2" s="6" t="str">
        <f>[2]Sheet!E2</f>
        <v>16,200</v>
      </c>
      <c r="F2" s="6" t="str">
        <f>[2]Sheet!F2</f>
        <v>15,900</v>
      </c>
      <c r="G2" s="6" t="str">
        <f>[2]Sheet!G2</f>
        <v>15,000</v>
      </c>
      <c r="H2" s="6" t="str">
        <f>[2]Sheet!H2</f>
        <v>14,600</v>
      </c>
      <c r="I2" s="6" t="str">
        <f>[2]Sheet!I2</f>
        <v>14,800</v>
      </c>
      <c r="J2" s="6" t="str">
        <f>[2]Sheet!J2</f>
        <v>14,850</v>
      </c>
      <c r="K2" s="6" t="str">
        <f>[2]Sheet!K2</f>
        <v>14,800</v>
      </c>
      <c r="L2" s="6" t="str">
        <f>[2]Sheet!L2</f>
        <v>14,800</v>
      </c>
      <c r="M2" s="6" t="str">
        <f>[2]Sheet!M2</f>
        <v>14,750</v>
      </c>
      <c r="N2" s="6" t="str">
        <f>[2]Sheet!N2</f>
        <v>14,800</v>
      </c>
      <c r="O2" s="6" t="str">
        <f>[2]Sheet!O2</f>
        <v>15,200</v>
      </c>
      <c r="P2" s="6" t="str">
        <f>[2]Sheet!P2</f>
        <v>14,850</v>
      </c>
      <c r="Q2" s="6" t="str">
        <f>[2]Sheet!Q2</f>
        <v>14,800</v>
      </c>
      <c r="R2" s="6" t="str">
        <f>[2]Sheet!R2</f>
        <v>14,850</v>
      </c>
      <c r="S2" s="6" t="str">
        <f>[2]Sheet!S2</f>
        <v>14,850</v>
      </c>
      <c r="T2" s="6" t="str">
        <f>[2]Sheet!T2</f>
        <v>14,850</v>
      </c>
      <c r="U2" s="6" t="str">
        <f>[2]Sheet!U2</f>
        <v>15,050</v>
      </c>
      <c r="V2" s="6" t="str">
        <f>[2]Sheet!V2</f>
        <v>15,100</v>
      </c>
      <c r="W2" s="6" t="str">
        <f>[2]Sheet!W2</f>
        <v>15,150</v>
      </c>
      <c r="X2" s="6" t="str">
        <f>[2]Sheet!X2</f>
        <v>15,200</v>
      </c>
      <c r="Y2" s="6" t="str">
        <f>[2]Sheet!Y2</f>
        <v>15,150</v>
      </c>
      <c r="Z2" s="6" t="str">
        <f>[2]Sheet!Z2</f>
        <v>15,100</v>
      </c>
    </row>
    <row r="3" spans="1:26" ht="13.5" customHeight="1" x14ac:dyDescent="0.25">
      <c r="A3" s="6" t="str">
        <f>[2]Sheet!A3</f>
        <v>1</v>
      </c>
      <c r="B3" s="6" t="str">
        <f>[2]Sheet!B3</f>
        <v>Beras Kualitas Bawah I</v>
      </c>
      <c r="C3" s="6" t="str">
        <f>[2]Sheet!C3</f>
        <v>13,450</v>
      </c>
      <c r="D3" s="6" t="str">
        <f>[2]Sheet!D3</f>
        <v>14,150</v>
      </c>
      <c r="E3" s="6" t="str">
        <f>[2]Sheet!E3</f>
        <v>15,300</v>
      </c>
      <c r="F3" s="6" t="str">
        <f>[2]Sheet!F3</f>
        <v>14,850</v>
      </c>
      <c r="G3" s="6" t="str">
        <f>[2]Sheet!G3</f>
        <v>13,900</v>
      </c>
      <c r="H3" s="6" t="str">
        <f>[2]Sheet!H3</f>
        <v>13,500</v>
      </c>
      <c r="I3" s="6" t="str">
        <f>[2]Sheet!I3</f>
        <v>13,750</v>
      </c>
      <c r="J3" s="6" t="str">
        <f>[2]Sheet!J3</f>
        <v>13,800</v>
      </c>
      <c r="K3" s="6" t="str">
        <f>[2]Sheet!K3</f>
        <v>13,750</v>
      </c>
      <c r="L3" s="6" t="str">
        <f>[2]Sheet!L3</f>
        <v>13,750</v>
      </c>
      <c r="M3" s="6" t="str">
        <f>[2]Sheet!M3</f>
        <v>13,750</v>
      </c>
      <c r="N3" s="6" t="str">
        <f>[2]Sheet!N3</f>
        <v>13,750</v>
      </c>
      <c r="O3" s="6" t="str">
        <f>[2]Sheet!O3</f>
        <v>13,950</v>
      </c>
      <c r="P3" s="6" t="str">
        <f>[2]Sheet!P3</f>
        <v>13,800</v>
      </c>
      <c r="Q3" s="6" t="str">
        <f>[2]Sheet!Q3</f>
        <v>13,750</v>
      </c>
      <c r="R3" s="6" t="str">
        <f>[2]Sheet!R3</f>
        <v>13,850</v>
      </c>
      <c r="S3" s="6" t="str">
        <f>[2]Sheet!S3</f>
        <v>13,850</v>
      </c>
      <c r="T3" s="6" t="str">
        <f>[2]Sheet!T3</f>
        <v>13,850</v>
      </c>
      <c r="U3" s="6" t="str">
        <f>[2]Sheet!U3</f>
        <v>13,950</v>
      </c>
      <c r="V3" s="6" t="str">
        <f>[2]Sheet!V3</f>
        <v>13,950</v>
      </c>
      <c r="W3" s="6" t="str">
        <f>[2]Sheet!W3</f>
        <v>14,150</v>
      </c>
      <c r="X3" s="6" t="str">
        <f>[2]Sheet!X3</f>
        <v>14,150</v>
      </c>
      <c r="Y3" s="6" t="str">
        <f>[2]Sheet!Y3</f>
        <v>14,050</v>
      </c>
      <c r="Z3" s="6" t="str">
        <f>[2]Sheet!Z3</f>
        <v>13,950</v>
      </c>
    </row>
    <row r="4" spans="1:26" ht="14.25" customHeight="1" x14ac:dyDescent="0.25">
      <c r="A4" s="6" t="str">
        <f>[2]Sheet!A4</f>
        <v>2</v>
      </c>
      <c r="B4" s="6" t="str">
        <f>[2]Sheet!B4</f>
        <v>Beras Kualitas Bawah II</v>
      </c>
      <c r="C4" s="6" t="str">
        <f>[2]Sheet!C4</f>
        <v>13,000</v>
      </c>
      <c r="D4" s="6" t="str">
        <f>[2]Sheet!D4</f>
        <v>13,550</v>
      </c>
      <c r="E4" s="6" t="str">
        <f>[2]Sheet!E4</f>
        <v>14,800</v>
      </c>
      <c r="F4" s="6" t="str">
        <f>[2]Sheet!F4</f>
        <v>14,200</v>
      </c>
      <c r="G4" s="6" t="str">
        <f>[2]Sheet!G4</f>
        <v>13,250</v>
      </c>
      <c r="H4" s="6" t="str">
        <f>[2]Sheet!H4</f>
        <v>12,750</v>
      </c>
      <c r="I4" s="6" t="str">
        <f>[2]Sheet!I4</f>
        <v>13,050</v>
      </c>
      <c r="J4" s="6" t="str">
        <f>[2]Sheet!J4</f>
        <v>13,150</v>
      </c>
      <c r="K4" s="6" t="str">
        <f>[2]Sheet!K4</f>
        <v>13,000</v>
      </c>
      <c r="L4" s="6" t="str">
        <f>[2]Sheet!L4</f>
        <v>13,050</v>
      </c>
      <c r="M4" s="6" t="str">
        <f>[2]Sheet!M4</f>
        <v>12,900</v>
      </c>
      <c r="N4" s="6" t="str">
        <f>[2]Sheet!N4</f>
        <v>12,900</v>
      </c>
      <c r="O4" s="6" t="str">
        <f>[2]Sheet!O4</f>
        <v>13,000</v>
      </c>
      <c r="P4" s="6" t="str">
        <f>[2]Sheet!P4</f>
        <v>13,100</v>
      </c>
      <c r="Q4" s="6" t="str">
        <f>[2]Sheet!Q4</f>
        <v>13,000</v>
      </c>
      <c r="R4" s="6" t="str">
        <f>[2]Sheet!R4</f>
        <v>13,200</v>
      </c>
      <c r="S4" s="6" t="str">
        <f>[2]Sheet!S4</f>
        <v>13,200</v>
      </c>
      <c r="T4" s="6" t="str">
        <f>[2]Sheet!T4</f>
        <v>13,250</v>
      </c>
      <c r="U4" s="6" t="str">
        <f>[2]Sheet!U4</f>
        <v>13,450</v>
      </c>
      <c r="V4" s="6" t="str">
        <f>[2]Sheet!V4</f>
        <v>13,450</v>
      </c>
      <c r="W4" s="6" t="str">
        <f>[2]Sheet!W4</f>
        <v>13,500</v>
      </c>
      <c r="X4" s="6" t="str">
        <f>[2]Sheet!X4</f>
        <v>13,550</v>
      </c>
      <c r="Y4" s="6" t="str">
        <f>[2]Sheet!Y4</f>
        <v>13,400</v>
      </c>
      <c r="Z4" s="6" t="str">
        <f>[2]Sheet!Z4</f>
        <v>13,350</v>
      </c>
    </row>
    <row r="5" spans="1:26" ht="14.25" customHeight="1" x14ac:dyDescent="0.25">
      <c r="A5" s="6" t="str">
        <f>[2]Sheet!A5</f>
        <v>3</v>
      </c>
      <c r="B5" s="6" t="str">
        <f>[2]Sheet!B5</f>
        <v>Beras Kualitas Medium I</v>
      </c>
      <c r="C5" s="6" t="str">
        <f>[2]Sheet!C5</f>
        <v>14,700</v>
      </c>
      <c r="D5" s="6" t="str">
        <f>[2]Sheet!D5</f>
        <v>15,250</v>
      </c>
      <c r="E5" s="6" t="str">
        <f>[2]Sheet!E5</f>
        <v>16,400</v>
      </c>
      <c r="F5" s="6" t="str">
        <f>[2]Sheet!F5</f>
        <v>16,250</v>
      </c>
      <c r="G5" s="6" t="str">
        <f>[2]Sheet!G5</f>
        <v>15,300</v>
      </c>
      <c r="H5" s="6" t="str">
        <f>[2]Sheet!H5</f>
        <v>14,900</v>
      </c>
      <c r="I5" s="6" t="str">
        <f>[2]Sheet!I5</f>
        <v>15,150</v>
      </c>
      <c r="J5" s="6" t="str">
        <f>[2]Sheet!J5</f>
        <v>15,150</v>
      </c>
      <c r="K5" s="6" t="str">
        <f>[2]Sheet!K5</f>
        <v>15,100</v>
      </c>
      <c r="L5" s="6" t="str">
        <f>[2]Sheet!L5</f>
        <v>15,100</v>
      </c>
      <c r="M5" s="6" t="str">
        <f>[2]Sheet!M5</f>
        <v>15,100</v>
      </c>
      <c r="N5" s="6" t="str">
        <f>[2]Sheet!N5</f>
        <v>15,100</v>
      </c>
      <c r="O5" s="6" t="str">
        <f>[2]Sheet!O5</f>
        <v>15,650</v>
      </c>
      <c r="P5" s="6" t="str">
        <f>[2]Sheet!P5</f>
        <v>15,150</v>
      </c>
      <c r="Q5" s="6" t="str">
        <f>[2]Sheet!Q5</f>
        <v>15,100</v>
      </c>
      <c r="R5" s="6" t="str">
        <f>[2]Sheet!R5</f>
        <v>15,100</v>
      </c>
      <c r="S5" s="6" t="str">
        <f>[2]Sheet!S5</f>
        <v>15,100</v>
      </c>
      <c r="T5" s="6" t="str">
        <f>[2]Sheet!T5</f>
        <v>15,100</v>
      </c>
      <c r="U5" s="6" t="str">
        <f>[2]Sheet!U5</f>
        <v>15,300</v>
      </c>
      <c r="V5" s="6" t="str">
        <f>[2]Sheet!V5</f>
        <v>15,300</v>
      </c>
      <c r="W5" s="6" t="str">
        <f>[2]Sheet!W5</f>
        <v>15,300</v>
      </c>
      <c r="X5" s="6" t="str">
        <f>[2]Sheet!X5</f>
        <v>15,350</v>
      </c>
      <c r="Y5" s="6" t="str">
        <f>[2]Sheet!Y5</f>
        <v>15,350</v>
      </c>
      <c r="Z5" s="6" t="str">
        <f>[2]Sheet!Z5</f>
        <v>15,350</v>
      </c>
    </row>
    <row r="6" spans="1:26" ht="14.25" customHeight="1" x14ac:dyDescent="0.25">
      <c r="A6" s="6" t="str">
        <f>[2]Sheet!A6</f>
        <v>4</v>
      </c>
      <c r="B6" s="6" t="str">
        <f>[2]Sheet!B6</f>
        <v>Beras Kualitas Medium II</v>
      </c>
      <c r="C6" s="6" t="str">
        <f>[2]Sheet!C6</f>
        <v>14,050</v>
      </c>
      <c r="D6" s="6" t="str">
        <f>[2]Sheet!D6</f>
        <v>14,750</v>
      </c>
      <c r="E6" s="6" t="str">
        <f>[2]Sheet!E6</f>
        <v>15,950</v>
      </c>
      <c r="F6" s="6" t="str">
        <f>[2]Sheet!F6</f>
        <v>15,600</v>
      </c>
      <c r="G6" s="6" t="str">
        <f>[2]Sheet!G6</f>
        <v>14,500</v>
      </c>
      <c r="H6" s="6" t="str">
        <f>[2]Sheet!H6</f>
        <v>14,200</v>
      </c>
      <c r="I6" s="6" t="str">
        <f>[2]Sheet!I6</f>
        <v>14,450</v>
      </c>
      <c r="J6" s="6" t="str">
        <f>[2]Sheet!J6</f>
        <v>14,450</v>
      </c>
      <c r="K6" s="6" t="str">
        <f>[2]Sheet!K6</f>
        <v>14,400</v>
      </c>
      <c r="L6" s="6" t="str">
        <f>[2]Sheet!L6</f>
        <v>14,400</v>
      </c>
      <c r="M6" s="6" t="str">
        <f>[2]Sheet!M6</f>
        <v>14,400</v>
      </c>
      <c r="N6" s="6" t="str">
        <f>[2]Sheet!N6</f>
        <v>14,400</v>
      </c>
      <c r="O6" s="6" t="str">
        <f>[2]Sheet!O6</f>
        <v>14,750</v>
      </c>
      <c r="P6" s="6" t="str">
        <f>[2]Sheet!P6</f>
        <v>14,450</v>
      </c>
      <c r="Q6" s="6" t="str">
        <f>[2]Sheet!Q6</f>
        <v>14,400</v>
      </c>
      <c r="R6" s="6" t="str">
        <f>[2]Sheet!R6</f>
        <v>14,400</v>
      </c>
      <c r="S6" s="6" t="str">
        <f>[2]Sheet!S6</f>
        <v>14,400</v>
      </c>
      <c r="T6" s="6" t="str">
        <f>[2]Sheet!T6</f>
        <v>14,400</v>
      </c>
      <c r="U6" s="6" t="str">
        <f>[2]Sheet!U6</f>
        <v>14,600</v>
      </c>
      <c r="V6" s="6" t="str">
        <f>[2]Sheet!V6</f>
        <v>14,600</v>
      </c>
      <c r="W6" s="6" t="str">
        <f>[2]Sheet!W6</f>
        <v>14,600</v>
      </c>
      <c r="X6" s="6" t="str">
        <f>[2]Sheet!X6</f>
        <v>14,700</v>
      </c>
      <c r="Y6" s="6" t="str">
        <f>[2]Sheet!Y6</f>
        <v>14,650</v>
      </c>
      <c r="Z6" s="6" t="str">
        <f>[2]Sheet!Z6</f>
        <v>14,600</v>
      </c>
    </row>
    <row r="7" spans="1:26" ht="15" customHeight="1" x14ac:dyDescent="0.25">
      <c r="A7" s="6" t="str">
        <f>[2]Sheet!A7</f>
        <v>5</v>
      </c>
      <c r="B7" s="6" t="str">
        <f>[2]Sheet!B7</f>
        <v>Beras Kualitas Super I</v>
      </c>
      <c r="C7" s="6" t="str">
        <f>[2]Sheet!C7</f>
        <v>16,100</v>
      </c>
      <c r="D7" s="6" t="str">
        <f>[2]Sheet!D7</f>
        <v>16,700</v>
      </c>
      <c r="E7" s="6" t="str">
        <f>[2]Sheet!E7</f>
        <v>17,700</v>
      </c>
      <c r="F7" s="6" t="str">
        <f>[2]Sheet!F7</f>
        <v>17,500</v>
      </c>
      <c r="G7" s="6" t="str">
        <f>[2]Sheet!G7</f>
        <v>16,750</v>
      </c>
      <c r="H7" s="6" t="str">
        <f>[2]Sheet!H7</f>
        <v>16,400</v>
      </c>
      <c r="I7" s="6" t="str">
        <f>[2]Sheet!I7</f>
        <v>16,500</v>
      </c>
      <c r="J7" s="6" t="str">
        <f>[2]Sheet!J7</f>
        <v>16,500</v>
      </c>
      <c r="K7" s="6" t="str">
        <f>[2]Sheet!K7</f>
        <v>16,600</v>
      </c>
      <c r="L7" s="6" t="str">
        <f>[2]Sheet!L7</f>
        <v>16,500</v>
      </c>
      <c r="M7" s="6" t="str">
        <f>[2]Sheet!M7</f>
        <v>16,500</v>
      </c>
      <c r="N7" s="6" t="str">
        <f>[2]Sheet!N7</f>
        <v>16,500</v>
      </c>
      <c r="O7" s="6" t="str">
        <f>[2]Sheet!O7</f>
        <v>17,100</v>
      </c>
      <c r="P7" s="6" t="str">
        <f>[2]Sheet!P7</f>
        <v>16,550</v>
      </c>
      <c r="Q7" s="6" t="str">
        <f>[2]Sheet!Q7</f>
        <v>16,550</v>
      </c>
      <c r="R7" s="6" t="str">
        <f>[2]Sheet!R7</f>
        <v>16,550</v>
      </c>
      <c r="S7" s="6" t="str">
        <f>[2]Sheet!S7</f>
        <v>16,550</v>
      </c>
      <c r="T7" s="6" t="str">
        <f>[2]Sheet!T7</f>
        <v>16,600</v>
      </c>
      <c r="U7" s="6" t="str">
        <f>[2]Sheet!U7</f>
        <v>16,800</v>
      </c>
      <c r="V7" s="6" t="str">
        <f>[2]Sheet!V7</f>
        <v>17,050</v>
      </c>
      <c r="W7" s="6" t="str">
        <f>[2]Sheet!W7</f>
        <v>17,050</v>
      </c>
      <c r="X7" s="6" t="str">
        <f>[2]Sheet!X7</f>
        <v>17,150</v>
      </c>
      <c r="Y7" s="6" t="str">
        <f>[2]Sheet!Y7</f>
        <v>17,150</v>
      </c>
      <c r="Z7" s="6" t="str">
        <f>[2]Sheet!Z7</f>
        <v>17,150</v>
      </c>
    </row>
    <row r="8" spans="1:26" ht="15.75" customHeight="1" x14ac:dyDescent="0.25">
      <c r="A8" s="6" t="str">
        <f>[2]Sheet!A8</f>
        <v>6</v>
      </c>
      <c r="B8" s="6" t="str">
        <f>[2]Sheet!B8</f>
        <v>Beras Kualitas Super II</v>
      </c>
      <c r="C8" s="6" t="str">
        <f>[2]Sheet!C8</f>
        <v>15,500</v>
      </c>
      <c r="D8" s="6" t="str">
        <f>[2]Sheet!D8</f>
        <v>16,150</v>
      </c>
      <c r="E8" s="6" t="str">
        <f>[2]Sheet!E8</f>
        <v>17,150</v>
      </c>
      <c r="F8" s="6" t="str">
        <f>[2]Sheet!F8</f>
        <v>16,950</v>
      </c>
      <c r="G8" s="6" t="str">
        <f>[2]Sheet!G8</f>
        <v>16,200</v>
      </c>
      <c r="H8" s="6" t="str">
        <f>[2]Sheet!H8</f>
        <v>15,700</v>
      </c>
      <c r="I8" s="6" t="str">
        <f>[2]Sheet!I8</f>
        <v>15,950</v>
      </c>
      <c r="J8" s="6" t="str">
        <f>[2]Sheet!J8</f>
        <v>15,950</v>
      </c>
      <c r="K8" s="6" t="str">
        <f>[2]Sheet!K8</f>
        <v>15,850</v>
      </c>
      <c r="L8" s="6" t="str">
        <f>[2]Sheet!L8</f>
        <v>15,900</v>
      </c>
      <c r="M8" s="6" t="str">
        <f>[2]Sheet!M8</f>
        <v>15,900</v>
      </c>
      <c r="N8" s="6" t="str">
        <f>[2]Sheet!N8</f>
        <v>15,950</v>
      </c>
      <c r="O8" s="6" t="str">
        <f>[2]Sheet!O8</f>
        <v>16,650</v>
      </c>
      <c r="P8" s="6" t="str">
        <f>[2]Sheet!P8</f>
        <v>15,900</v>
      </c>
      <c r="Q8" s="6" t="str">
        <f>[2]Sheet!Q8</f>
        <v>15,900</v>
      </c>
      <c r="R8" s="6" t="str">
        <f>[2]Sheet!R8</f>
        <v>15,900</v>
      </c>
      <c r="S8" s="6" t="str">
        <f>[2]Sheet!S8</f>
        <v>15,900</v>
      </c>
      <c r="T8" s="6" t="str">
        <f>[2]Sheet!T8</f>
        <v>15,900</v>
      </c>
      <c r="U8" s="6" t="str">
        <f>[2]Sheet!U8</f>
        <v>16,150</v>
      </c>
      <c r="V8" s="6" t="str">
        <f>[2]Sheet!V8</f>
        <v>16,300</v>
      </c>
      <c r="W8" s="6" t="str">
        <f>[2]Sheet!W8</f>
        <v>16,300</v>
      </c>
      <c r="X8" s="6" t="str">
        <f>[2]Sheet!X8</f>
        <v>16,300</v>
      </c>
      <c r="Y8" s="6" t="str">
        <f>[2]Sheet!Y8</f>
        <v>16,300</v>
      </c>
      <c r="Z8" s="6" t="str">
        <f>[2]Sheet!Z8</f>
        <v>16,300</v>
      </c>
    </row>
    <row r="17" spans="4:4" x14ac:dyDescent="0.25">
      <c r="D1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7850-9A8E-4077-A29B-5895C137BC47}">
  <dimension ref="A1:Z8"/>
  <sheetViews>
    <sheetView workbookViewId="0">
      <selection activeCell="D13" sqref="D13"/>
    </sheetView>
  </sheetViews>
  <sheetFormatPr defaultRowHeight="15" x14ac:dyDescent="0.25"/>
  <cols>
    <col min="2" max="2" width="24.28515625" customWidth="1"/>
  </cols>
  <sheetData>
    <row r="1" spans="1:26" ht="30.75" customHeight="1" x14ac:dyDescent="0.25">
      <c r="A1" s="6" t="str">
        <f>[3]Sheet!A1</f>
        <v>No</v>
      </c>
      <c r="B1" s="6" t="str">
        <f>[3]Sheet!B1</f>
        <v>Komoditas (Rp)</v>
      </c>
      <c r="C1" s="6" t="str">
        <f>[3]Sheet!C1</f>
        <v>01/ 01/ 2024</v>
      </c>
      <c r="D1" s="6" t="str">
        <f>[3]Sheet!D1</f>
        <v>01/ 02/ 2024</v>
      </c>
      <c r="E1" s="6" t="str">
        <f>[3]Sheet!E1</f>
        <v>01/ 03/ 2024</v>
      </c>
      <c r="F1" s="6" t="str">
        <f>[3]Sheet!F1</f>
        <v>01/ 04/ 2024</v>
      </c>
      <c r="G1" s="6" t="str">
        <f>[3]Sheet!G1</f>
        <v>01/ 05/ 2024</v>
      </c>
      <c r="H1" s="6" t="str">
        <f>[3]Sheet!H1</f>
        <v>03/ 06/ 2024</v>
      </c>
      <c r="I1" s="6" t="str">
        <f>[3]Sheet!I1</f>
        <v>01/ 07/ 2024</v>
      </c>
      <c r="J1" s="6" t="str">
        <f>[3]Sheet!J1</f>
        <v>01/ 08/ 2024</v>
      </c>
      <c r="K1" s="6" t="str">
        <f>[3]Sheet!K1</f>
        <v>02/ 09/ 2024</v>
      </c>
      <c r="L1" s="6" t="str">
        <f>[3]Sheet!L1</f>
        <v>01/ 10/ 2024</v>
      </c>
      <c r="M1" s="6" t="str">
        <f>[3]Sheet!M1</f>
        <v>01/ 11/ 2024</v>
      </c>
      <c r="N1" s="6" t="str">
        <f>[3]Sheet!N1</f>
        <v>02/ 12/ 2024</v>
      </c>
      <c r="O1" s="6" t="str">
        <f>[3]Sheet!O1</f>
        <v>01/ 01/ 2025</v>
      </c>
      <c r="P1" s="6" t="str">
        <f>[3]Sheet!P1</f>
        <v>03/ 02/ 2025</v>
      </c>
      <c r="Q1" s="6" t="str">
        <f>[3]Sheet!Q1</f>
        <v>03/ 03/ 2025</v>
      </c>
      <c r="R1" s="6" t="str">
        <f>[3]Sheet!R1</f>
        <v>01/ 04/ 2025</v>
      </c>
      <c r="S1" s="6" t="str">
        <f>[3]Sheet!S1</f>
        <v>01/ 05/ 2025</v>
      </c>
      <c r="T1" s="6" t="str">
        <f>[3]Sheet!T1</f>
        <v>02/ 06/ 2025</v>
      </c>
      <c r="U1" s="6" t="str">
        <f>[3]Sheet!U1</f>
        <v>01/ 07/ 2025</v>
      </c>
      <c r="V1" s="6" t="str">
        <f>[3]Sheet!V1</f>
        <v>01/ 08/ 2025</v>
      </c>
      <c r="W1" s="6" t="str">
        <f>[3]Sheet!W1</f>
        <v>01/ 09/ 2025</v>
      </c>
      <c r="X1" s="6" t="str">
        <f>[3]Sheet!X1</f>
        <v>01/ 10/ 2025</v>
      </c>
      <c r="Y1" s="6" t="str">
        <f>[3]Sheet!Y1</f>
        <v>03/ 11/ 2025</v>
      </c>
      <c r="Z1" s="6" t="str">
        <f>[3]Sheet!Z1</f>
        <v>01/ 12/ 2025</v>
      </c>
    </row>
    <row r="2" spans="1:26" x14ac:dyDescent="0.25">
      <c r="A2" s="6" t="str">
        <f>[3]Sheet!A2</f>
        <v>I</v>
      </c>
      <c r="B2" s="6" t="str">
        <f>[3]Sheet!B2</f>
        <v>Beras</v>
      </c>
      <c r="C2" s="6" t="str">
        <f>[3]Sheet!C2</f>
        <v>13,850</v>
      </c>
      <c r="D2" s="6" t="str">
        <f>[3]Sheet!D2</f>
        <v>14,900</v>
      </c>
      <c r="E2" s="6" t="str">
        <f>[3]Sheet!E2</f>
        <v>16,100</v>
      </c>
      <c r="F2" s="6" t="str">
        <f>[3]Sheet!F2</f>
        <v>15,900</v>
      </c>
      <c r="G2" s="6" t="str">
        <f>[3]Sheet!G2</f>
        <v>14,950</v>
      </c>
      <c r="H2" s="6" t="str">
        <f>[3]Sheet!H2</f>
        <v>14,350</v>
      </c>
      <c r="I2" s="6" t="str">
        <f>[3]Sheet!I2</f>
        <v>14,550</v>
      </c>
      <c r="J2" s="6" t="str">
        <f>[3]Sheet!J2</f>
        <v>14,500</v>
      </c>
      <c r="K2" s="6" t="str">
        <f>[3]Sheet!K2</f>
        <v>14,450</v>
      </c>
      <c r="L2" s="6" t="str">
        <f>[3]Sheet!L2</f>
        <v>14,450</v>
      </c>
      <c r="M2" s="6" t="str">
        <f>[3]Sheet!M2</f>
        <v>14,400</v>
      </c>
      <c r="N2" s="6" t="str">
        <f>[3]Sheet!N2</f>
        <v>14,450</v>
      </c>
      <c r="O2" s="6" t="str">
        <f>[3]Sheet!O2</f>
        <v>14,600</v>
      </c>
      <c r="P2" s="6" t="str">
        <f>[3]Sheet!P2</f>
        <v>14,550</v>
      </c>
      <c r="Q2" s="6" t="str">
        <f>[3]Sheet!Q2</f>
        <v>14,500</v>
      </c>
      <c r="R2" s="6" t="str">
        <f>[3]Sheet!R2</f>
        <v>14,500</v>
      </c>
      <c r="S2" s="6" t="str">
        <f>[3]Sheet!S2</f>
        <v>14,500</v>
      </c>
      <c r="T2" s="6" t="str">
        <f>[3]Sheet!T2</f>
        <v>14,500</v>
      </c>
      <c r="U2" s="6" t="str">
        <f>[3]Sheet!U2</f>
        <v>14,650</v>
      </c>
      <c r="V2" s="6" t="str">
        <f>[3]Sheet!V2</f>
        <v>14,650</v>
      </c>
      <c r="W2" s="6" t="str">
        <f>[3]Sheet!W2</f>
        <v>14,650</v>
      </c>
      <c r="X2" s="6" t="str">
        <f>[3]Sheet!X2</f>
        <v>14,650</v>
      </c>
      <c r="Y2" s="6" t="str">
        <f>[3]Sheet!Y2</f>
        <v>14,650</v>
      </c>
      <c r="Z2" s="6" t="str">
        <f>[3]Sheet!Z2</f>
        <v>14,650</v>
      </c>
    </row>
    <row r="3" spans="1:26" ht="13.5" customHeight="1" x14ac:dyDescent="0.25">
      <c r="A3" s="6" t="str">
        <f>[3]Sheet!A3</f>
        <v>1</v>
      </c>
      <c r="B3" s="6" t="str">
        <f>[3]Sheet!B3</f>
        <v>Beras Kualitas Bawah I</v>
      </c>
      <c r="C3" s="6" t="str">
        <f>[3]Sheet!C3</f>
        <v>13,200</v>
      </c>
      <c r="D3" s="6" t="str">
        <f>[3]Sheet!D3</f>
        <v>14,250</v>
      </c>
      <c r="E3" s="6" t="str">
        <f>[3]Sheet!E3</f>
        <v>15,450</v>
      </c>
      <c r="F3" s="6" t="str">
        <f>[3]Sheet!F3</f>
        <v>15,150</v>
      </c>
      <c r="G3" s="6" t="str">
        <f>[3]Sheet!G3</f>
        <v>14,100</v>
      </c>
      <c r="H3" s="6" t="str">
        <f>[3]Sheet!H3</f>
        <v>13,550</v>
      </c>
      <c r="I3" s="6" t="str">
        <f>[3]Sheet!I3</f>
        <v>13,800</v>
      </c>
      <c r="J3" s="6" t="str">
        <f>[3]Sheet!J3</f>
        <v>13,700</v>
      </c>
      <c r="K3" s="6" t="str">
        <f>[3]Sheet!K3</f>
        <v>13,650</v>
      </c>
      <c r="L3" s="6" t="str">
        <f>[3]Sheet!L3</f>
        <v>13,650</v>
      </c>
      <c r="M3" s="6" t="str">
        <f>[3]Sheet!M3</f>
        <v>13,650</v>
      </c>
      <c r="N3" s="6" t="str">
        <f>[3]Sheet!N3</f>
        <v>13,650</v>
      </c>
      <c r="O3" s="6" t="str">
        <f>[3]Sheet!O3</f>
        <v>13,750</v>
      </c>
      <c r="P3" s="6" t="str">
        <f>[3]Sheet!P3</f>
        <v>13,700</v>
      </c>
      <c r="Q3" s="6" t="str">
        <f>[3]Sheet!Q3</f>
        <v>13,700</v>
      </c>
      <c r="R3" s="6" t="str">
        <f>[3]Sheet!R3</f>
        <v>13,700</v>
      </c>
      <c r="S3" s="6" t="str">
        <f>[3]Sheet!S3</f>
        <v>13,700</v>
      </c>
      <c r="T3" s="6" t="str">
        <f>[3]Sheet!T3</f>
        <v>13,700</v>
      </c>
      <c r="U3" s="6" t="str">
        <f>[3]Sheet!U3</f>
        <v>13,850</v>
      </c>
      <c r="V3" s="6" t="str">
        <f>[3]Sheet!V3</f>
        <v>13,850</v>
      </c>
      <c r="W3" s="6" t="str">
        <f>[3]Sheet!W3</f>
        <v>13,850</v>
      </c>
      <c r="X3" s="6" t="str">
        <f>[3]Sheet!X3</f>
        <v>13,850</v>
      </c>
      <c r="Y3" s="6" t="str">
        <f>[3]Sheet!Y3</f>
        <v>13,850</v>
      </c>
      <c r="Z3" s="6" t="str">
        <f>[3]Sheet!Z3</f>
        <v>13,850</v>
      </c>
    </row>
    <row r="4" spans="1:26" ht="15.75" customHeight="1" x14ac:dyDescent="0.25">
      <c r="A4" s="6" t="str">
        <f>[3]Sheet!A4</f>
        <v>2</v>
      </c>
      <c r="B4" s="6" t="str">
        <f>[3]Sheet!B4</f>
        <v>Beras Kualitas Bawah II</v>
      </c>
      <c r="C4" s="6" t="str">
        <f>[3]Sheet!C4</f>
        <v>12,900</v>
      </c>
      <c r="D4" s="6" t="str">
        <f>[3]Sheet!D4</f>
        <v>13,850</v>
      </c>
      <c r="E4" s="6" t="str">
        <f>[3]Sheet!E4</f>
        <v>15,100</v>
      </c>
      <c r="F4" s="6" t="str">
        <f>[3]Sheet!F4</f>
        <v>14,600</v>
      </c>
      <c r="G4" s="6" t="str">
        <f>[3]Sheet!G4</f>
        <v>13,500</v>
      </c>
      <c r="H4" s="6" t="str">
        <f>[3]Sheet!H4</f>
        <v>12,750</v>
      </c>
      <c r="I4" s="6" t="str">
        <f>[3]Sheet!I4</f>
        <v>13,100</v>
      </c>
      <c r="J4" s="6" t="str">
        <f>[3]Sheet!J4</f>
        <v>13,000</v>
      </c>
      <c r="K4" s="6" t="str">
        <f>[3]Sheet!K4</f>
        <v>12,900</v>
      </c>
      <c r="L4" s="6" t="str">
        <f>[3]Sheet!L4</f>
        <v>12,950</v>
      </c>
      <c r="M4" s="6" t="str">
        <f>[3]Sheet!M4</f>
        <v>12,750</v>
      </c>
      <c r="N4" s="6" t="str">
        <f>[3]Sheet!N4</f>
        <v>12,750</v>
      </c>
      <c r="O4" s="6" t="str">
        <f>[3]Sheet!O4</f>
        <v>12,900</v>
      </c>
      <c r="P4" s="6" t="str">
        <f>[3]Sheet!P4</f>
        <v>13,050</v>
      </c>
      <c r="Q4" s="6" t="str">
        <f>[3]Sheet!Q4</f>
        <v>13,100</v>
      </c>
      <c r="R4" s="6" t="str">
        <f>[3]Sheet!R4</f>
        <v>13,100</v>
      </c>
      <c r="S4" s="6" t="str">
        <f>[3]Sheet!S4</f>
        <v>13,100</v>
      </c>
      <c r="T4" s="6" t="str">
        <f>[3]Sheet!T4</f>
        <v>13,100</v>
      </c>
      <c r="U4" s="6" t="str">
        <f>[3]Sheet!U4</f>
        <v>13,200</v>
      </c>
      <c r="V4" s="6" t="str">
        <f>[3]Sheet!V4</f>
        <v>13,200</v>
      </c>
      <c r="W4" s="6" t="str">
        <f>[3]Sheet!W4</f>
        <v>13,350</v>
      </c>
      <c r="X4" s="6" t="str">
        <f>[3]Sheet!X4</f>
        <v>13,350</v>
      </c>
      <c r="Y4" s="6" t="str">
        <f>[3]Sheet!Y4</f>
        <v>13,350</v>
      </c>
      <c r="Z4" s="6" t="str">
        <f>[3]Sheet!Z4</f>
        <v>13,350</v>
      </c>
    </row>
    <row r="5" spans="1:26" ht="14.25" customHeight="1" x14ac:dyDescent="0.25">
      <c r="A5" s="6" t="str">
        <f>[3]Sheet!A5</f>
        <v>3</v>
      </c>
      <c r="B5" s="6" t="str">
        <f>[3]Sheet!B5</f>
        <v>Beras Kualitas Medium I</v>
      </c>
      <c r="C5" s="6" t="str">
        <f>[3]Sheet!C5</f>
        <v>14,150</v>
      </c>
      <c r="D5" s="6" t="str">
        <f>[3]Sheet!D5</f>
        <v>15,100</v>
      </c>
      <c r="E5" s="6" t="str">
        <f>[3]Sheet!E5</f>
        <v>16,250</v>
      </c>
      <c r="F5" s="6" t="str">
        <f>[3]Sheet!F5</f>
        <v>16,100</v>
      </c>
      <c r="G5" s="6" t="str">
        <f>[3]Sheet!G5</f>
        <v>15,200</v>
      </c>
      <c r="H5" s="6" t="str">
        <f>[3]Sheet!H5</f>
        <v>14,650</v>
      </c>
      <c r="I5" s="6" t="str">
        <f>[3]Sheet!I5</f>
        <v>14,900</v>
      </c>
      <c r="J5" s="6" t="str">
        <f>[3]Sheet!J5</f>
        <v>14,850</v>
      </c>
      <c r="K5" s="6" t="str">
        <f>[3]Sheet!K5</f>
        <v>14,750</v>
      </c>
      <c r="L5" s="6" t="str">
        <f>[3]Sheet!L5</f>
        <v>14,750</v>
      </c>
      <c r="M5" s="6" t="str">
        <f>[3]Sheet!M5</f>
        <v>14,750</v>
      </c>
      <c r="N5" s="6" t="str">
        <f>[3]Sheet!N5</f>
        <v>14,750</v>
      </c>
      <c r="O5" s="6" t="str">
        <f>[3]Sheet!O5</f>
        <v>15,000</v>
      </c>
      <c r="P5" s="6" t="str">
        <f>[3]Sheet!P5</f>
        <v>14,850</v>
      </c>
      <c r="Q5" s="6" t="str">
        <f>[3]Sheet!Q5</f>
        <v>14,750</v>
      </c>
      <c r="R5" s="6" t="str">
        <f>[3]Sheet!R5</f>
        <v>14,750</v>
      </c>
      <c r="S5" s="6" t="str">
        <f>[3]Sheet!S5</f>
        <v>14,750</v>
      </c>
      <c r="T5" s="6" t="str">
        <f>[3]Sheet!T5</f>
        <v>14,750</v>
      </c>
      <c r="U5" s="6" t="str">
        <f>[3]Sheet!U5</f>
        <v>14,900</v>
      </c>
      <c r="V5" s="6" t="str">
        <f>[3]Sheet!V5</f>
        <v>14,900</v>
      </c>
      <c r="W5" s="6" t="str">
        <f>[3]Sheet!W5</f>
        <v>14,900</v>
      </c>
      <c r="X5" s="6" t="str">
        <f>[3]Sheet!X5</f>
        <v>14,900</v>
      </c>
      <c r="Y5" s="6" t="str">
        <f>[3]Sheet!Y5</f>
        <v>14,900</v>
      </c>
      <c r="Z5" s="6" t="str">
        <f>[3]Sheet!Z5</f>
        <v>14,900</v>
      </c>
    </row>
    <row r="6" spans="1:26" ht="15.75" customHeight="1" x14ac:dyDescent="0.25">
      <c r="A6" s="6" t="str">
        <f>[3]Sheet!A6</f>
        <v>4</v>
      </c>
      <c r="B6" s="6" t="str">
        <f>[3]Sheet!B6</f>
        <v>Beras Kualitas Medium II</v>
      </c>
      <c r="C6" s="6" t="str">
        <f>[3]Sheet!C6</f>
        <v>13,600</v>
      </c>
      <c r="D6" s="6" t="str">
        <f>[3]Sheet!D6</f>
        <v>14,650</v>
      </c>
      <c r="E6" s="6" t="str">
        <f>[3]Sheet!E6</f>
        <v>16,000</v>
      </c>
      <c r="F6" s="6" t="str">
        <f>[3]Sheet!F6</f>
        <v>15,750</v>
      </c>
      <c r="G6" s="6" t="str">
        <f>[3]Sheet!G6</f>
        <v>14,650</v>
      </c>
      <c r="H6" s="6" t="str">
        <f>[3]Sheet!H6</f>
        <v>14,100</v>
      </c>
      <c r="I6" s="6" t="str">
        <f>[3]Sheet!I6</f>
        <v>14,350</v>
      </c>
      <c r="J6" s="6" t="str">
        <f>[3]Sheet!J6</f>
        <v>14,300</v>
      </c>
      <c r="K6" s="6" t="str">
        <f>[3]Sheet!K6</f>
        <v>14,200</v>
      </c>
      <c r="L6" s="6" t="str">
        <f>[3]Sheet!L6</f>
        <v>14,200</v>
      </c>
      <c r="M6" s="6" t="str">
        <f>[3]Sheet!M6</f>
        <v>14,200</v>
      </c>
      <c r="N6" s="6" t="str">
        <f>[3]Sheet!N6</f>
        <v>14,200</v>
      </c>
      <c r="O6" s="6" t="str">
        <f>[3]Sheet!O6</f>
        <v>14,400</v>
      </c>
      <c r="P6" s="6" t="str">
        <f>[3]Sheet!P6</f>
        <v>14,300</v>
      </c>
      <c r="Q6" s="6" t="str">
        <f>[3]Sheet!Q6</f>
        <v>14,150</v>
      </c>
      <c r="R6" s="6" t="str">
        <f>[3]Sheet!R6</f>
        <v>14,150</v>
      </c>
      <c r="S6" s="6" t="str">
        <f>[3]Sheet!S6</f>
        <v>14,150</v>
      </c>
      <c r="T6" s="6" t="str">
        <f>[3]Sheet!T6</f>
        <v>14,200</v>
      </c>
      <c r="U6" s="6" t="str">
        <f>[3]Sheet!U6</f>
        <v>14,350</v>
      </c>
      <c r="V6" s="6" t="str">
        <f>[3]Sheet!V6</f>
        <v>14,350</v>
      </c>
      <c r="W6" s="6" t="str">
        <f>[3]Sheet!W6</f>
        <v>14,350</v>
      </c>
      <c r="X6" s="6" t="str">
        <f>[3]Sheet!X6</f>
        <v>14,350</v>
      </c>
      <c r="Y6" s="6" t="str">
        <f>[3]Sheet!Y6</f>
        <v>14,350</v>
      </c>
      <c r="Z6" s="6" t="str">
        <f>[3]Sheet!Z6</f>
        <v>14,350</v>
      </c>
    </row>
    <row r="7" spans="1:26" ht="13.5" customHeight="1" x14ac:dyDescent="0.25">
      <c r="A7" s="6" t="str">
        <f>[3]Sheet!A7</f>
        <v>5</v>
      </c>
      <c r="B7" s="6" t="str">
        <f>[3]Sheet!B7</f>
        <v>Beras Kualitas Super I</v>
      </c>
      <c r="C7" s="6" t="str">
        <f>[3]Sheet!C7</f>
        <v>14,900</v>
      </c>
      <c r="D7" s="6" t="str">
        <f>[3]Sheet!D7</f>
        <v>15,950</v>
      </c>
      <c r="E7" s="6" t="str">
        <f>[3]Sheet!E7</f>
        <v>17,200</v>
      </c>
      <c r="F7" s="6" t="str">
        <f>[3]Sheet!F7</f>
        <v>17,150</v>
      </c>
      <c r="G7" s="6" t="str">
        <f>[3]Sheet!G7</f>
        <v>16,400</v>
      </c>
      <c r="H7" s="6" t="str">
        <f>[3]Sheet!H7</f>
        <v>15,850</v>
      </c>
      <c r="I7" s="6" t="str">
        <f>[3]Sheet!I7</f>
        <v>15,950</v>
      </c>
      <c r="J7" s="6" t="str">
        <f>[3]Sheet!J7</f>
        <v>15,900</v>
      </c>
      <c r="K7" s="6" t="str">
        <f>[3]Sheet!K7</f>
        <v>15,950</v>
      </c>
      <c r="L7" s="6" t="str">
        <f>[3]Sheet!L7</f>
        <v>15,900</v>
      </c>
      <c r="M7" s="6" t="str">
        <f>[3]Sheet!M7</f>
        <v>15,900</v>
      </c>
      <c r="N7" s="6" t="str">
        <f>[3]Sheet!N7</f>
        <v>15,950</v>
      </c>
      <c r="O7" s="6" t="str">
        <f>[3]Sheet!O7</f>
        <v>16,000</v>
      </c>
      <c r="P7" s="6" t="str">
        <f>[3]Sheet!P7</f>
        <v>16,000</v>
      </c>
      <c r="Q7" s="6" t="str">
        <f>[3]Sheet!Q7</f>
        <v>16,000</v>
      </c>
      <c r="R7" s="6" t="str">
        <f>[3]Sheet!R7</f>
        <v>16,000</v>
      </c>
      <c r="S7" s="6" t="str">
        <f>[3]Sheet!S7</f>
        <v>16,000</v>
      </c>
      <c r="T7" s="6" t="str">
        <f>[3]Sheet!T7</f>
        <v>16,000</v>
      </c>
      <c r="U7" s="6" t="str">
        <f>[3]Sheet!U7</f>
        <v>16,100</v>
      </c>
      <c r="V7" s="6" t="str">
        <f>[3]Sheet!V7</f>
        <v>16,100</v>
      </c>
      <c r="W7" s="6" t="str">
        <f>[3]Sheet!W7</f>
        <v>16,100</v>
      </c>
      <c r="X7" s="6" t="str">
        <f>[3]Sheet!X7</f>
        <v>16,100</v>
      </c>
      <c r="Y7" s="6" t="str">
        <f>[3]Sheet!Y7</f>
        <v>16,100</v>
      </c>
      <c r="Z7" s="6" t="str">
        <f>[3]Sheet!Z7</f>
        <v>16,100</v>
      </c>
    </row>
    <row r="8" spans="1:26" ht="16.5" customHeight="1" x14ac:dyDescent="0.25">
      <c r="A8" s="6" t="str">
        <f>[3]Sheet!A8</f>
        <v>6</v>
      </c>
      <c r="B8" s="6" t="str">
        <f>[3]Sheet!B8</f>
        <v>Beras Kualitas Super II</v>
      </c>
      <c r="C8" s="6" t="str">
        <f>[3]Sheet!C8</f>
        <v>14,400</v>
      </c>
      <c r="D8" s="6" t="str">
        <f>[3]Sheet!D8</f>
        <v>15,450</v>
      </c>
      <c r="E8" s="6" t="str">
        <f>[3]Sheet!E8</f>
        <v>16,650</v>
      </c>
      <c r="F8" s="6" t="str">
        <f>[3]Sheet!F8</f>
        <v>16,650</v>
      </c>
      <c r="G8" s="6" t="str">
        <f>[3]Sheet!G8</f>
        <v>15,850</v>
      </c>
      <c r="H8" s="6" t="str">
        <f>[3]Sheet!H8</f>
        <v>15,150</v>
      </c>
      <c r="I8" s="6" t="str">
        <f>[3]Sheet!I8</f>
        <v>15,400</v>
      </c>
      <c r="J8" s="6" t="str">
        <f>[3]Sheet!J8</f>
        <v>15,350</v>
      </c>
      <c r="K8" s="6" t="str">
        <f>[3]Sheet!K8</f>
        <v>15,200</v>
      </c>
      <c r="L8" s="6" t="str">
        <f>[3]Sheet!L8</f>
        <v>15,250</v>
      </c>
      <c r="M8" s="6" t="str">
        <f>[3]Sheet!M8</f>
        <v>15,250</v>
      </c>
      <c r="N8" s="6" t="str">
        <f>[3]Sheet!N8</f>
        <v>15,400</v>
      </c>
      <c r="O8" s="6" t="str">
        <f>[3]Sheet!O8</f>
        <v>15,500</v>
      </c>
      <c r="P8" s="6" t="str">
        <f>[3]Sheet!P8</f>
        <v>15,350</v>
      </c>
      <c r="Q8" s="6" t="str">
        <f>[3]Sheet!Q8</f>
        <v>15,350</v>
      </c>
      <c r="R8" s="6" t="str">
        <f>[3]Sheet!R8</f>
        <v>15,350</v>
      </c>
      <c r="S8" s="6" t="str">
        <f>[3]Sheet!S8</f>
        <v>15,350</v>
      </c>
      <c r="T8" s="6" t="str">
        <f>[3]Sheet!T8</f>
        <v>15,350</v>
      </c>
      <c r="U8" s="6" t="str">
        <f>[3]Sheet!U8</f>
        <v>15,450</v>
      </c>
      <c r="V8" s="6" t="str">
        <f>[3]Sheet!V8</f>
        <v>15,450</v>
      </c>
      <c r="W8" s="6" t="str">
        <f>[3]Sheet!W8</f>
        <v>15,450</v>
      </c>
      <c r="X8" s="6" t="str">
        <f>[3]Sheet!X8</f>
        <v>15,450</v>
      </c>
      <c r="Y8" s="6" t="str">
        <f>[3]Sheet!Y8</f>
        <v>15,450</v>
      </c>
      <c r="Z8" s="6" t="str">
        <f>[3]Sheet!Z8</f>
        <v>15,450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5ACE-FF08-45A5-B8D7-23BBA826C5AE}">
  <dimension ref="A1:Z8"/>
  <sheetViews>
    <sheetView workbookViewId="0">
      <selection activeCell="C13" sqref="C13"/>
    </sheetView>
  </sheetViews>
  <sheetFormatPr defaultRowHeight="15" x14ac:dyDescent="0.25"/>
  <cols>
    <col min="2" max="2" width="23.28515625" customWidth="1"/>
  </cols>
  <sheetData>
    <row r="1" spans="1:26" ht="30" x14ac:dyDescent="0.25">
      <c r="A1" s="6" t="str">
        <f>[4]Sheet!A1</f>
        <v>No</v>
      </c>
      <c r="B1" s="6" t="str">
        <f>[4]Sheet!B1</f>
        <v>Komoditas (Rp)</v>
      </c>
      <c r="C1" s="6" t="str">
        <f>[4]Sheet!C1</f>
        <v>01/ 01/ 2024</v>
      </c>
      <c r="D1" s="6" t="str">
        <f>[4]Sheet!D1</f>
        <v>01/ 02/ 2024</v>
      </c>
      <c r="E1" s="6" t="str">
        <f>[4]Sheet!E1</f>
        <v>01/ 03/ 2024</v>
      </c>
      <c r="F1" s="6" t="str">
        <f>[4]Sheet!F1</f>
        <v>01/ 04/ 2024</v>
      </c>
      <c r="G1" s="6" t="str">
        <f>[4]Sheet!G1</f>
        <v>01/ 05/ 2024</v>
      </c>
      <c r="H1" s="6" t="str">
        <f>[4]Sheet!H1</f>
        <v>03/ 06/ 2024</v>
      </c>
      <c r="I1" s="6" t="str">
        <f>[4]Sheet!I1</f>
        <v>01/ 07/ 2024</v>
      </c>
      <c r="J1" s="6" t="str">
        <f>[4]Sheet!J1</f>
        <v>01/ 08/ 2024</v>
      </c>
      <c r="K1" s="6" t="str">
        <f>[4]Sheet!K1</f>
        <v>02/ 09/ 2024</v>
      </c>
      <c r="L1" s="6" t="str">
        <f>[4]Sheet!L1</f>
        <v>01/ 10/ 2024</v>
      </c>
      <c r="M1" s="6" t="str">
        <f>[4]Sheet!M1</f>
        <v>01/ 11/ 2024</v>
      </c>
      <c r="N1" s="6" t="str">
        <f>[4]Sheet!N1</f>
        <v>02/ 12/ 2024</v>
      </c>
      <c r="O1" s="6" t="str">
        <f>[4]Sheet!O1</f>
        <v>01/ 01/ 2025</v>
      </c>
      <c r="P1" s="6" t="str">
        <f>[4]Sheet!P1</f>
        <v>03/ 02/ 2025</v>
      </c>
      <c r="Q1" s="6" t="str">
        <f>[4]Sheet!Q1</f>
        <v>03/ 03/ 2025</v>
      </c>
      <c r="R1" s="6" t="str">
        <f>[4]Sheet!R1</f>
        <v>01/ 04/ 2025</v>
      </c>
      <c r="S1" s="6" t="str">
        <f>[4]Sheet!S1</f>
        <v>01/ 05/ 2025</v>
      </c>
      <c r="T1" s="6" t="str">
        <f>[4]Sheet!T1</f>
        <v>02/ 06/ 2025</v>
      </c>
      <c r="U1" s="6" t="str">
        <f>[4]Sheet!U1</f>
        <v>01/ 07/ 2025</v>
      </c>
      <c r="V1" s="6" t="str">
        <f>[4]Sheet!V1</f>
        <v>01/ 08/ 2025</v>
      </c>
      <c r="W1" s="6" t="str">
        <f>[4]Sheet!W1</f>
        <v>01/ 09/ 2025</v>
      </c>
      <c r="X1" s="6" t="str">
        <f>[4]Sheet!X1</f>
        <v>01/ 10/ 2025</v>
      </c>
      <c r="Y1" s="6" t="str">
        <f>[4]Sheet!Y1</f>
        <v>03/ 11/ 2025</v>
      </c>
      <c r="Z1" s="6" t="str">
        <f>[4]Sheet!Z1</f>
        <v>01/ 12/ 2025</v>
      </c>
    </row>
    <row r="2" spans="1:26" x14ac:dyDescent="0.25">
      <c r="A2" s="6" t="str">
        <f>[4]Sheet!A2</f>
        <v>I</v>
      </c>
      <c r="B2" s="6" t="str">
        <f>[4]Sheet!B2</f>
        <v>Beras</v>
      </c>
      <c r="C2" s="6" t="str">
        <f>[4]Sheet!C2</f>
        <v>13,600</v>
      </c>
      <c r="D2" s="6" t="str">
        <f>[4]Sheet!D2</f>
        <v>14,850</v>
      </c>
      <c r="E2" s="6" t="str">
        <f>[4]Sheet!E2</f>
        <v>15,450</v>
      </c>
      <c r="F2" s="6" t="str">
        <f>[4]Sheet!F2</f>
        <v>15,250</v>
      </c>
      <c r="G2" s="6" t="str">
        <f>[4]Sheet!G2</f>
        <v>14,550</v>
      </c>
      <c r="H2" s="6" t="str">
        <f>[4]Sheet!H2</f>
        <v>14,350</v>
      </c>
      <c r="I2" s="6" t="str">
        <f>[4]Sheet!I2</f>
        <v>14,400</v>
      </c>
      <c r="J2" s="6" t="str">
        <f>[4]Sheet!J2</f>
        <v>14,550</v>
      </c>
      <c r="K2" s="6" t="str">
        <f>[4]Sheet!K2</f>
        <v>14,550</v>
      </c>
      <c r="L2" s="6" t="str">
        <f>[4]Sheet!L2</f>
        <v>14,550</v>
      </c>
      <c r="M2" s="6" t="str">
        <f>[4]Sheet!M2</f>
        <v>14,500</v>
      </c>
      <c r="N2" s="6" t="str">
        <f>[4]Sheet!N2</f>
        <v>14,450</v>
      </c>
      <c r="O2" s="6" t="str">
        <f>[4]Sheet!O2</f>
        <v>14,650</v>
      </c>
      <c r="P2" s="6" t="str">
        <f>[4]Sheet!P2</f>
        <v>14,700</v>
      </c>
      <c r="Q2" s="6" t="str">
        <f>[4]Sheet!Q2</f>
        <v>14,700</v>
      </c>
      <c r="R2" s="6" t="str">
        <f>[4]Sheet!R2</f>
        <v>14,800</v>
      </c>
      <c r="S2" s="6" t="str">
        <f>[4]Sheet!S2</f>
        <v>14,800</v>
      </c>
      <c r="T2" s="6" t="str">
        <f>[4]Sheet!T2</f>
        <v>14,900</v>
      </c>
      <c r="U2" s="6" t="str">
        <f>[4]Sheet!U2</f>
        <v>15,100</v>
      </c>
      <c r="V2" s="6" t="str">
        <f>[4]Sheet!V2</f>
        <v>15,100</v>
      </c>
      <c r="W2" s="6" t="str">
        <f>[4]Sheet!W2</f>
        <v>15,100</v>
      </c>
      <c r="X2" s="6" t="str">
        <f>[4]Sheet!X2</f>
        <v>15,300</v>
      </c>
      <c r="Y2" s="6" t="str">
        <f>[4]Sheet!Y2</f>
        <v>15,250</v>
      </c>
      <c r="Z2" s="6" t="str">
        <f>[4]Sheet!Z2</f>
        <v>15,150</v>
      </c>
    </row>
    <row r="3" spans="1:26" ht="15.75" customHeight="1" x14ac:dyDescent="0.25">
      <c r="A3" s="6" t="str">
        <f>[4]Sheet!A3</f>
        <v>1</v>
      </c>
      <c r="B3" s="6" t="str">
        <f>[4]Sheet!B3</f>
        <v>Beras Kualitas Bawah I</v>
      </c>
      <c r="C3" s="6" t="str">
        <f>[4]Sheet!C3</f>
        <v>12,700</v>
      </c>
      <c r="D3" s="6" t="str">
        <f>[4]Sheet!D3</f>
        <v>13,850</v>
      </c>
      <c r="E3" s="6" t="str">
        <f>[4]Sheet!E3</f>
        <v>14,500</v>
      </c>
      <c r="F3" s="6" t="str">
        <f>[4]Sheet!F3</f>
        <v>14,150</v>
      </c>
      <c r="G3" s="6" t="str">
        <f>[4]Sheet!G3</f>
        <v>13,150</v>
      </c>
      <c r="H3" s="6" t="str">
        <f>[4]Sheet!H3</f>
        <v>12,700</v>
      </c>
      <c r="I3" s="6" t="str">
        <f>[4]Sheet!I3</f>
        <v>12,900</v>
      </c>
      <c r="J3" s="6" t="str">
        <f>[4]Sheet!J3</f>
        <v>12,900</v>
      </c>
      <c r="K3" s="6" t="str">
        <f>[4]Sheet!K3</f>
        <v>12,900</v>
      </c>
      <c r="L3" s="6" t="str">
        <f>[4]Sheet!L3</f>
        <v>12,900</v>
      </c>
      <c r="M3" s="6" t="str">
        <f>[4]Sheet!M3</f>
        <v>12,900</v>
      </c>
      <c r="N3" s="6" t="str">
        <f>[4]Sheet!N3</f>
        <v>12,900</v>
      </c>
      <c r="O3" s="6" t="str">
        <f>[4]Sheet!O3</f>
        <v>12,950</v>
      </c>
      <c r="P3" s="6" t="str">
        <f>[4]Sheet!P3</f>
        <v>13,000</v>
      </c>
      <c r="Q3" s="6" t="str">
        <f>[4]Sheet!Q3</f>
        <v>13,000</v>
      </c>
      <c r="R3" s="6" t="str">
        <f>[4]Sheet!R3</f>
        <v>13,300</v>
      </c>
      <c r="S3" s="6" t="str">
        <f>[4]Sheet!S3</f>
        <v>13,300</v>
      </c>
      <c r="T3" s="6" t="str">
        <f>[4]Sheet!T3</f>
        <v>13,400</v>
      </c>
      <c r="U3" s="6" t="str">
        <f>[4]Sheet!U3</f>
        <v>13,700</v>
      </c>
      <c r="V3" s="6" t="str">
        <f>[4]Sheet!V3</f>
        <v>13,700</v>
      </c>
      <c r="W3" s="6" t="str">
        <f>[4]Sheet!W3</f>
        <v>13,700</v>
      </c>
      <c r="X3" s="6" t="str">
        <f>[4]Sheet!X3</f>
        <v>13,750</v>
      </c>
      <c r="Y3" s="6" t="str">
        <f>[4]Sheet!Y3</f>
        <v>13,750</v>
      </c>
      <c r="Z3" s="6" t="str">
        <f>[4]Sheet!Z3</f>
        <v>13,750</v>
      </c>
    </row>
    <row r="4" spans="1:26" ht="15.75" customHeight="1" x14ac:dyDescent="0.25">
      <c r="A4" s="6" t="str">
        <f>[4]Sheet!A4</f>
        <v>2</v>
      </c>
      <c r="B4" s="6" t="str">
        <f>[4]Sheet!B4</f>
        <v>Beras Kualitas Bawah II</v>
      </c>
      <c r="C4" s="6" t="str">
        <f>[4]Sheet!C4</f>
        <v>12,450</v>
      </c>
      <c r="D4" s="6" t="str">
        <f>[4]Sheet!D4</f>
        <v>13,600</v>
      </c>
      <c r="E4" s="6" t="str">
        <f>[4]Sheet!E4</f>
        <v>14,150</v>
      </c>
      <c r="F4" s="6" t="str">
        <f>[4]Sheet!F4</f>
        <v>13,750</v>
      </c>
      <c r="G4" s="6" t="str">
        <f>[4]Sheet!G4</f>
        <v>12,750</v>
      </c>
      <c r="H4" s="6" t="str">
        <f>[4]Sheet!H4</f>
        <v>12,200</v>
      </c>
      <c r="I4" s="6" t="str">
        <f>[4]Sheet!I4</f>
        <v>12,400</v>
      </c>
      <c r="J4" s="6" t="str">
        <f>[4]Sheet!J4</f>
        <v>12,400</v>
      </c>
      <c r="K4" s="6" t="str">
        <f>[4]Sheet!K4</f>
        <v>12,400</v>
      </c>
      <c r="L4" s="6" t="str">
        <f>[4]Sheet!L4</f>
        <v>12,400</v>
      </c>
      <c r="M4" s="6" t="str">
        <f>[4]Sheet!M4</f>
        <v>12,400</v>
      </c>
      <c r="N4" s="6" t="str">
        <f>[4]Sheet!N4</f>
        <v>12,450</v>
      </c>
      <c r="O4" s="6" t="str">
        <f>[4]Sheet!O4</f>
        <v>12,500</v>
      </c>
      <c r="P4" s="6" t="str">
        <f>[4]Sheet!P4</f>
        <v>12,600</v>
      </c>
      <c r="Q4" s="6" t="str">
        <f>[4]Sheet!Q4</f>
        <v>12,600</v>
      </c>
      <c r="R4" s="6" t="str">
        <f>[4]Sheet!R4</f>
        <v>12,900</v>
      </c>
      <c r="S4" s="6" t="str">
        <f>[4]Sheet!S4</f>
        <v>12,900</v>
      </c>
      <c r="T4" s="6" t="str">
        <f>[4]Sheet!T4</f>
        <v>13,050</v>
      </c>
      <c r="U4" s="6" t="str">
        <f>[4]Sheet!U4</f>
        <v>13,350</v>
      </c>
      <c r="V4" s="6" t="str">
        <f>[4]Sheet!V4</f>
        <v>13,350</v>
      </c>
      <c r="W4" s="6" t="str">
        <f>[4]Sheet!W4</f>
        <v>13,350</v>
      </c>
      <c r="X4" s="6" t="str">
        <f>[4]Sheet!X4</f>
        <v>13,400</v>
      </c>
      <c r="Y4" s="6" t="str">
        <f>[4]Sheet!Y4</f>
        <v>13,400</v>
      </c>
      <c r="Z4" s="6" t="str">
        <f>[4]Sheet!Z4</f>
        <v>13,250</v>
      </c>
    </row>
    <row r="5" spans="1:26" ht="15.75" customHeight="1" x14ac:dyDescent="0.25">
      <c r="A5" s="6" t="str">
        <f>[4]Sheet!A5</f>
        <v>3</v>
      </c>
      <c r="B5" s="6" t="str">
        <f>[4]Sheet!B5</f>
        <v>Beras Kualitas Medium I</v>
      </c>
      <c r="C5" s="6" t="str">
        <f>[4]Sheet!C5</f>
        <v>13,350</v>
      </c>
      <c r="D5" s="6" t="str">
        <f>[4]Sheet!D5</f>
        <v>14,350</v>
      </c>
      <c r="E5" s="6" t="str">
        <f>[4]Sheet!E5</f>
        <v>15,100</v>
      </c>
      <c r="F5" s="6" t="str">
        <f>[4]Sheet!F5</f>
        <v>14,900</v>
      </c>
      <c r="G5" s="6" t="str">
        <f>[4]Sheet!G5</f>
        <v>14,400</v>
      </c>
      <c r="H5" s="6" t="str">
        <f>[4]Sheet!H5</f>
        <v>14,400</v>
      </c>
      <c r="I5" s="6" t="str">
        <f>[4]Sheet!I5</f>
        <v>14,400</v>
      </c>
      <c r="J5" s="6" t="str">
        <f>[4]Sheet!J5</f>
        <v>14,400</v>
      </c>
      <c r="K5" s="6" t="str">
        <f>[4]Sheet!K5</f>
        <v>14,400</v>
      </c>
      <c r="L5" s="6" t="str">
        <f>[4]Sheet!L5</f>
        <v>14,400</v>
      </c>
      <c r="M5" s="6" t="str">
        <f>[4]Sheet!M5</f>
        <v>14,400</v>
      </c>
      <c r="N5" s="6" t="str">
        <f>[4]Sheet!N5</f>
        <v>14,200</v>
      </c>
      <c r="O5" s="6" t="str">
        <f>[4]Sheet!O5</f>
        <v>14,450</v>
      </c>
      <c r="P5" s="6" t="str">
        <f>[4]Sheet!P5</f>
        <v>14,500</v>
      </c>
      <c r="Q5" s="6" t="str">
        <f>[4]Sheet!Q5</f>
        <v>14,500</v>
      </c>
      <c r="R5" s="6" t="str">
        <f>[4]Sheet!R5</f>
        <v>14,500</v>
      </c>
      <c r="S5" s="6" t="str">
        <f>[4]Sheet!S5</f>
        <v>14,500</v>
      </c>
      <c r="T5" s="6" t="str">
        <f>[4]Sheet!T5</f>
        <v>14,650</v>
      </c>
      <c r="U5" s="6" t="str">
        <f>[4]Sheet!U5</f>
        <v>14,900</v>
      </c>
      <c r="V5" s="6" t="str">
        <f>[4]Sheet!V5</f>
        <v>14,900</v>
      </c>
      <c r="W5" s="6" t="str">
        <f>[4]Sheet!W5</f>
        <v>14,900</v>
      </c>
      <c r="X5" s="6" t="str">
        <f>[4]Sheet!X5</f>
        <v>14,950</v>
      </c>
      <c r="Y5" s="6" t="str">
        <f>[4]Sheet!Y5</f>
        <v>14,950</v>
      </c>
      <c r="Z5" s="6" t="str">
        <f>[4]Sheet!Z5</f>
        <v>14,950</v>
      </c>
    </row>
    <row r="6" spans="1:26" ht="15" customHeight="1" x14ac:dyDescent="0.25">
      <c r="A6" s="6" t="str">
        <f>[4]Sheet!A6</f>
        <v>4</v>
      </c>
      <c r="B6" s="6" t="str">
        <f>[4]Sheet!B6</f>
        <v>Beras Kualitas Medium II</v>
      </c>
      <c r="C6" s="6" t="str">
        <f>[4]Sheet!C6</f>
        <v>13,000</v>
      </c>
      <c r="D6" s="6" t="str">
        <f>[4]Sheet!D6</f>
        <v>14,050</v>
      </c>
      <c r="E6" s="6" t="str">
        <f>[4]Sheet!E6</f>
        <v>14,800</v>
      </c>
      <c r="F6" s="6" t="str">
        <f>[4]Sheet!F6</f>
        <v>14,600</v>
      </c>
      <c r="G6" s="6" t="str">
        <f>[4]Sheet!G6</f>
        <v>14,100</v>
      </c>
      <c r="H6" s="6" t="str">
        <f>[4]Sheet!H6</f>
        <v>13,950</v>
      </c>
      <c r="I6" s="6" t="str">
        <f>[4]Sheet!I6</f>
        <v>13,950</v>
      </c>
      <c r="J6" s="6" t="str">
        <f>[4]Sheet!J6</f>
        <v>13,950</v>
      </c>
      <c r="K6" s="6" t="str">
        <f>[4]Sheet!K6</f>
        <v>13,950</v>
      </c>
      <c r="L6" s="6" t="str">
        <f>[4]Sheet!L6</f>
        <v>13,950</v>
      </c>
      <c r="M6" s="6" t="str">
        <f>[4]Sheet!M6</f>
        <v>13,950</v>
      </c>
      <c r="N6" s="6" t="str">
        <f>[4]Sheet!N6</f>
        <v>13,850</v>
      </c>
      <c r="O6" s="6" t="str">
        <f>[4]Sheet!O6</f>
        <v>14,000</v>
      </c>
      <c r="P6" s="6" t="str">
        <f>[4]Sheet!P6</f>
        <v>14,050</v>
      </c>
      <c r="Q6" s="6" t="str">
        <f>[4]Sheet!Q6</f>
        <v>14,050</v>
      </c>
      <c r="R6" s="6" t="str">
        <f>[4]Sheet!R6</f>
        <v>14,050</v>
      </c>
      <c r="S6" s="6" t="str">
        <f>[4]Sheet!S6</f>
        <v>14,050</v>
      </c>
      <c r="T6" s="6" t="str">
        <f>[4]Sheet!T6</f>
        <v>14,200</v>
      </c>
      <c r="U6" s="6" t="str">
        <f>[4]Sheet!U6</f>
        <v>14,400</v>
      </c>
      <c r="V6" s="6" t="str">
        <f>[4]Sheet!V6</f>
        <v>14,400</v>
      </c>
      <c r="W6" s="6" t="str">
        <f>[4]Sheet!W6</f>
        <v>14,400</v>
      </c>
      <c r="X6" s="6" t="str">
        <f>[4]Sheet!X6</f>
        <v>14,600</v>
      </c>
      <c r="Y6" s="6" t="str">
        <f>[4]Sheet!Y6</f>
        <v>14,600</v>
      </c>
      <c r="Z6" s="6" t="str">
        <f>[4]Sheet!Z6</f>
        <v>14,600</v>
      </c>
    </row>
    <row r="7" spans="1:26" ht="14.25" customHeight="1" x14ac:dyDescent="0.25">
      <c r="A7" s="6" t="str">
        <f>[4]Sheet!A7</f>
        <v>5</v>
      </c>
      <c r="B7" s="6" t="str">
        <f>[4]Sheet!B7</f>
        <v>Beras Kualitas Super I</v>
      </c>
      <c r="C7" s="6" t="str">
        <f>[4]Sheet!C7</f>
        <v>15,500</v>
      </c>
      <c r="D7" s="6" t="str">
        <f>[4]Sheet!D7</f>
        <v>17,150</v>
      </c>
      <c r="E7" s="6" t="str">
        <f>[4]Sheet!E7</f>
        <v>17,650</v>
      </c>
      <c r="F7" s="6" t="str">
        <f>[4]Sheet!F7</f>
        <v>17,650</v>
      </c>
      <c r="G7" s="6" t="str">
        <f>[4]Sheet!G7</f>
        <v>16,950</v>
      </c>
      <c r="H7" s="6" t="str">
        <f>[4]Sheet!H7</f>
        <v>16,900</v>
      </c>
      <c r="I7" s="6" t="str">
        <f>[4]Sheet!I7</f>
        <v>16,900</v>
      </c>
      <c r="J7" s="6" t="str">
        <f>[4]Sheet!J7</f>
        <v>17,750</v>
      </c>
      <c r="K7" s="6" t="str">
        <f>[4]Sheet!K7</f>
        <v>17,750</v>
      </c>
      <c r="L7" s="6" t="str">
        <f>[4]Sheet!L7</f>
        <v>17,750</v>
      </c>
      <c r="M7" s="6" t="str">
        <f>[4]Sheet!M7</f>
        <v>17,750</v>
      </c>
      <c r="N7" s="6" t="str">
        <f>[4]Sheet!N7</f>
        <v>17,750</v>
      </c>
      <c r="O7" s="6" t="str">
        <f>[4]Sheet!O7</f>
        <v>17,900</v>
      </c>
      <c r="P7" s="6" t="str">
        <f>[4]Sheet!P7</f>
        <v>18,000</v>
      </c>
      <c r="Q7" s="6" t="str">
        <f>[4]Sheet!Q7</f>
        <v>18,000</v>
      </c>
      <c r="R7" s="6" t="str">
        <f>[4]Sheet!R7</f>
        <v>18,000</v>
      </c>
      <c r="S7" s="6" t="str">
        <f>[4]Sheet!S7</f>
        <v>18,000</v>
      </c>
      <c r="T7" s="6" t="str">
        <f>[4]Sheet!T7</f>
        <v>18,000</v>
      </c>
      <c r="U7" s="6" t="str">
        <f>[4]Sheet!U7</f>
        <v>18,000</v>
      </c>
      <c r="V7" s="6" t="str">
        <f>[4]Sheet!V7</f>
        <v>18,000</v>
      </c>
      <c r="W7" s="6" t="str">
        <f>[4]Sheet!W7</f>
        <v>18,000</v>
      </c>
      <c r="X7" s="6" t="str">
        <f>[4]Sheet!X7</f>
        <v>18,400</v>
      </c>
      <c r="Y7" s="6" t="str">
        <f>[4]Sheet!Y7</f>
        <v>18,250</v>
      </c>
      <c r="Z7" s="6" t="str">
        <f>[4]Sheet!Z7</f>
        <v>18,000</v>
      </c>
    </row>
    <row r="8" spans="1:26" ht="15.75" customHeight="1" x14ac:dyDescent="0.25">
      <c r="A8" s="6" t="str">
        <f>[4]Sheet!A8</f>
        <v>6</v>
      </c>
      <c r="B8" s="6" t="str">
        <f>[4]Sheet!B8</f>
        <v>Beras Kualitas Super II</v>
      </c>
      <c r="C8" s="6" t="str">
        <f>[4]Sheet!C8</f>
        <v>14,500</v>
      </c>
      <c r="D8" s="6" t="str">
        <f>[4]Sheet!D8</f>
        <v>16,000</v>
      </c>
      <c r="E8" s="6" t="str">
        <f>[4]Sheet!E8</f>
        <v>16,500</v>
      </c>
      <c r="F8" s="6" t="str">
        <f>[4]Sheet!F8</f>
        <v>16,500</v>
      </c>
      <c r="G8" s="6" t="str">
        <f>[4]Sheet!G8</f>
        <v>15,900</v>
      </c>
      <c r="H8" s="6" t="str">
        <f>[4]Sheet!H8</f>
        <v>15,750</v>
      </c>
      <c r="I8" s="6" t="str">
        <f>[4]Sheet!I8</f>
        <v>15,750</v>
      </c>
      <c r="J8" s="6" t="str">
        <f>[4]Sheet!J8</f>
        <v>15,750</v>
      </c>
      <c r="K8" s="6" t="str">
        <f>[4]Sheet!K8</f>
        <v>15,750</v>
      </c>
      <c r="L8" s="6" t="str">
        <f>[4]Sheet!L8</f>
        <v>15,800</v>
      </c>
      <c r="M8" s="6" t="str">
        <f>[4]Sheet!M8</f>
        <v>15,450</v>
      </c>
      <c r="N8" s="6" t="str">
        <f>[4]Sheet!N8</f>
        <v>15,400</v>
      </c>
      <c r="O8" s="6" t="str">
        <f>[4]Sheet!O8</f>
        <v>16,000</v>
      </c>
      <c r="P8" s="6" t="str">
        <f>[4]Sheet!P8</f>
        <v>16,000</v>
      </c>
      <c r="Q8" s="6" t="str">
        <f>[4]Sheet!Q8</f>
        <v>16,000</v>
      </c>
      <c r="R8" s="6" t="str">
        <f>[4]Sheet!R8</f>
        <v>16,000</v>
      </c>
      <c r="S8" s="6" t="str">
        <f>[4]Sheet!S8</f>
        <v>16,000</v>
      </c>
      <c r="T8" s="6" t="str">
        <f>[4]Sheet!T8</f>
        <v>16,000</v>
      </c>
      <c r="U8" s="6" t="str">
        <f>[4]Sheet!U8</f>
        <v>16,150</v>
      </c>
      <c r="V8" s="6" t="str">
        <f>[4]Sheet!V8</f>
        <v>16,150</v>
      </c>
      <c r="W8" s="6" t="str">
        <f>[4]Sheet!W8</f>
        <v>16,150</v>
      </c>
      <c r="X8" s="6" t="str">
        <f>[4]Sheet!X8</f>
        <v>16,500</v>
      </c>
      <c r="Y8" s="6" t="str">
        <f>[4]Sheet!Y8</f>
        <v>16,500</v>
      </c>
      <c r="Z8" s="6" t="str">
        <f>[4]Sheet!Z8</f>
        <v>16,400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3A0B-057C-4812-BDD1-856DEBE40A85}">
  <dimension ref="A1:Z8"/>
  <sheetViews>
    <sheetView workbookViewId="0">
      <selection activeCell="F20" sqref="F20"/>
    </sheetView>
  </sheetViews>
  <sheetFormatPr defaultRowHeight="15" x14ac:dyDescent="0.25"/>
  <cols>
    <col min="1" max="1" width="7.5703125" customWidth="1"/>
    <col min="2" max="2" width="23.7109375" customWidth="1"/>
  </cols>
  <sheetData>
    <row r="1" spans="1:26" ht="30" x14ac:dyDescent="0.25">
      <c r="A1" s="7" t="str">
        <f>[5]Sheet!A1</f>
        <v>No</v>
      </c>
      <c r="B1" s="7" t="str">
        <f>[5]Sheet!B1</f>
        <v>Komoditas (Rp)</v>
      </c>
      <c r="C1" s="7" t="str">
        <f>[5]Sheet!C1</f>
        <v>01/ 01/ 2024</v>
      </c>
      <c r="D1" s="7" t="str">
        <f>[5]Sheet!D1</f>
        <v>01/ 02/ 2024</v>
      </c>
      <c r="E1" s="7" t="str">
        <f>[5]Sheet!E1</f>
        <v>01/ 03/ 2024</v>
      </c>
      <c r="F1" s="7" t="str">
        <f>[5]Sheet!F1</f>
        <v>01/ 04/ 2024</v>
      </c>
      <c r="G1" s="7" t="str">
        <f>[5]Sheet!G1</f>
        <v>01/ 05/ 2024</v>
      </c>
      <c r="H1" s="7" t="str">
        <f>[5]Sheet!H1</f>
        <v>03/ 06/ 2024</v>
      </c>
      <c r="I1" s="7" t="str">
        <f>[5]Sheet!I1</f>
        <v>01/ 07/ 2024</v>
      </c>
      <c r="J1" s="7" t="str">
        <f>[5]Sheet!J1</f>
        <v>01/ 08/ 2024</v>
      </c>
      <c r="K1" s="7" t="str">
        <f>[5]Sheet!K1</f>
        <v>02/ 09/ 2024</v>
      </c>
      <c r="L1" s="7" t="str">
        <f>[5]Sheet!L1</f>
        <v>01/ 10/ 2024</v>
      </c>
      <c r="M1" s="7" t="str">
        <f>[5]Sheet!M1</f>
        <v>01/ 11/ 2024</v>
      </c>
      <c r="N1" s="7" t="str">
        <f>[5]Sheet!N1</f>
        <v>02/ 12/ 2024</v>
      </c>
      <c r="O1" s="7" t="str">
        <f>[5]Sheet!O1</f>
        <v>01/ 01/ 2025</v>
      </c>
      <c r="P1" s="7" t="str">
        <f>[5]Sheet!P1</f>
        <v>03/ 02/ 2025</v>
      </c>
      <c r="Q1" s="7" t="str">
        <f>[5]Sheet!Q1</f>
        <v>03/ 03/ 2025</v>
      </c>
      <c r="R1" s="7" t="str">
        <f>[5]Sheet!R1</f>
        <v>01/ 04/ 2025</v>
      </c>
      <c r="S1" s="7" t="str">
        <f>[5]Sheet!S1</f>
        <v>01/ 05/ 2025</v>
      </c>
      <c r="T1" s="7" t="str">
        <f>[5]Sheet!T1</f>
        <v>02/ 06/ 2025</v>
      </c>
      <c r="U1" s="7" t="str">
        <f>[5]Sheet!U1</f>
        <v>01/ 07/ 2025</v>
      </c>
      <c r="V1" s="7" t="str">
        <f>[5]Sheet!V1</f>
        <v>01/ 08/ 2025</v>
      </c>
      <c r="W1" s="7" t="str">
        <f>[5]Sheet!W1</f>
        <v>01/ 09/ 2025</v>
      </c>
      <c r="X1" s="7" t="str">
        <f>[5]Sheet!X1</f>
        <v>01/ 10/ 2025</v>
      </c>
      <c r="Y1" s="7" t="str">
        <f>[5]Sheet!Y1</f>
        <v>03/ 11/ 2025</v>
      </c>
      <c r="Z1" s="7" t="str">
        <f>[5]Sheet!Z1</f>
        <v>01/ 12/ 2025</v>
      </c>
    </row>
    <row r="2" spans="1:26" x14ac:dyDescent="0.25">
      <c r="A2" s="7" t="str">
        <f>[5]Sheet!A2</f>
        <v>I</v>
      </c>
      <c r="B2" s="7" t="str">
        <f>[5]Sheet!B2</f>
        <v>Beras</v>
      </c>
      <c r="C2" s="7" t="str">
        <f>[5]Sheet!C2</f>
        <v>13,050</v>
      </c>
      <c r="D2" s="7" t="str">
        <f>[5]Sheet!D2</f>
        <v>13,650</v>
      </c>
      <c r="E2" s="7" t="str">
        <f>[5]Sheet!E2</f>
        <v>15,750</v>
      </c>
      <c r="F2" s="7" t="str">
        <f>[5]Sheet!F2</f>
        <v>14,700</v>
      </c>
      <c r="G2" s="7" t="str">
        <f>[5]Sheet!G2</f>
        <v>13,750</v>
      </c>
      <c r="H2" s="7" t="str">
        <f>[5]Sheet!H2</f>
        <v>13,550</v>
      </c>
      <c r="I2" s="7" t="str">
        <f>[5]Sheet!I2</f>
        <v>13,550</v>
      </c>
      <c r="J2" s="7" t="str">
        <f>[5]Sheet!J2</f>
        <v>13,550</v>
      </c>
      <c r="K2" s="7" t="str">
        <f>[5]Sheet!K2</f>
        <v>13,550</v>
      </c>
      <c r="L2" s="7" t="str">
        <f>[5]Sheet!L2</f>
        <v>13,550</v>
      </c>
      <c r="M2" s="7" t="str">
        <f>[5]Sheet!M2</f>
        <v>13,550</v>
      </c>
      <c r="N2" s="7" t="str">
        <f>[5]Sheet!N2</f>
        <v>13,550</v>
      </c>
      <c r="O2" s="7" t="str">
        <f>[5]Sheet!O2</f>
        <v>13,550</v>
      </c>
      <c r="P2" s="7" t="str">
        <f>[5]Sheet!P2</f>
        <v>13,550</v>
      </c>
      <c r="Q2" s="7" t="str">
        <f>[5]Sheet!Q2</f>
        <v>13,550</v>
      </c>
      <c r="R2" s="7" t="str">
        <f>[5]Sheet!R2</f>
        <v>13,550</v>
      </c>
      <c r="S2" s="7" t="str">
        <f>[5]Sheet!S2</f>
        <v>13,550</v>
      </c>
      <c r="T2" s="7" t="str">
        <f>[5]Sheet!T2</f>
        <v>13,800</v>
      </c>
      <c r="U2" s="7" t="str">
        <f>[5]Sheet!U2</f>
        <v>13,900</v>
      </c>
      <c r="V2" s="7" t="str">
        <f>[5]Sheet!V2</f>
        <v>13,900</v>
      </c>
      <c r="W2" s="7" t="str">
        <f>[5]Sheet!W2</f>
        <v>14,150</v>
      </c>
      <c r="X2" s="7" t="str">
        <f>[5]Sheet!X2</f>
        <v>14,150</v>
      </c>
      <c r="Y2" s="7" t="str">
        <f>[5]Sheet!Y2</f>
        <v>14,050</v>
      </c>
      <c r="Z2" s="7" t="str">
        <f>[5]Sheet!Z2</f>
        <v>14,050</v>
      </c>
    </row>
    <row r="3" spans="1:26" ht="15.75" customHeight="1" x14ac:dyDescent="0.25">
      <c r="A3" s="7" t="str">
        <f>[5]Sheet!A3</f>
        <v>1</v>
      </c>
      <c r="B3" s="7" t="str">
        <f>[5]Sheet!B3</f>
        <v>Beras Kualitas Bawah I</v>
      </c>
      <c r="C3" s="7" t="str">
        <f>[5]Sheet!C3</f>
        <v>12,400</v>
      </c>
      <c r="D3" s="7" t="str">
        <f>[5]Sheet!D3</f>
        <v>13,050</v>
      </c>
      <c r="E3" s="7" t="str">
        <f>[5]Sheet!E3</f>
        <v>15,000</v>
      </c>
      <c r="F3" s="7" t="str">
        <f>[5]Sheet!F3</f>
        <v>14,000</v>
      </c>
      <c r="G3" s="7" t="str">
        <f>[5]Sheet!G3</f>
        <v>13,000</v>
      </c>
      <c r="H3" s="7" t="str">
        <f>[5]Sheet!H3</f>
        <v>12,900</v>
      </c>
      <c r="I3" s="7" t="str">
        <f>[5]Sheet!I3</f>
        <v>12,900</v>
      </c>
      <c r="J3" s="7" t="str">
        <f>[5]Sheet!J3</f>
        <v>12,900</v>
      </c>
      <c r="K3" s="7" t="str">
        <f>[5]Sheet!K3</f>
        <v>12,900</v>
      </c>
      <c r="L3" s="7" t="str">
        <f>[5]Sheet!L3</f>
        <v>12,900</v>
      </c>
      <c r="M3" s="7" t="str">
        <f>[5]Sheet!M3</f>
        <v>12,900</v>
      </c>
      <c r="N3" s="7" t="str">
        <f>[5]Sheet!N3</f>
        <v>12,900</v>
      </c>
      <c r="O3" s="7" t="str">
        <f>[5]Sheet!O3</f>
        <v>12,900</v>
      </c>
      <c r="P3" s="7" t="str">
        <f>[5]Sheet!P3</f>
        <v>12,900</v>
      </c>
      <c r="Q3" s="7" t="str">
        <f>[5]Sheet!Q3</f>
        <v>12,900</v>
      </c>
      <c r="R3" s="7" t="str">
        <f>[5]Sheet!R3</f>
        <v>12,900</v>
      </c>
      <c r="S3" s="7" t="str">
        <f>[5]Sheet!S3</f>
        <v>12,900</v>
      </c>
      <c r="T3" s="7" t="str">
        <f>[5]Sheet!T3</f>
        <v>13,150</v>
      </c>
      <c r="U3" s="7" t="str">
        <f>[5]Sheet!U3</f>
        <v>13,250</v>
      </c>
      <c r="V3" s="7" t="str">
        <f>[5]Sheet!V3</f>
        <v>13,250</v>
      </c>
      <c r="W3" s="7" t="str">
        <f>[5]Sheet!W3</f>
        <v>13,500</v>
      </c>
      <c r="X3" s="7" t="str">
        <f>[5]Sheet!X3</f>
        <v>13,500</v>
      </c>
      <c r="Y3" s="7" t="str">
        <f>[5]Sheet!Y3</f>
        <v>13,400</v>
      </c>
      <c r="Z3" s="7" t="str">
        <f>[5]Sheet!Z3</f>
        <v>13,400</v>
      </c>
    </row>
    <row r="4" spans="1:26" ht="15.75" customHeight="1" x14ac:dyDescent="0.25">
      <c r="A4" s="7" t="str">
        <f>[5]Sheet!A4</f>
        <v>2</v>
      </c>
      <c r="B4" s="7" t="str">
        <f>[5]Sheet!B4</f>
        <v>Beras Kualitas Bawah II</v>
      </c>
      <c r="C4" s="7" t="str">
        <f>[5]Sheet!C4</f>
        <v>11,800</v>
      </c>
      <c r="D4" s="7" t="str">
        <f>[5]Sheet!D4</f>
        <v>12,500</v>
      </c>
      <c r="E4" s="7" t="str">
        <f>[5]Sheet!E4</f>
        <v>14,450</v>
      </c>
      <c r="F4" s="7" t="str">
        <f>[5]Sheet!F4</f>
        <v>13,500</v>
      </c>
      <c r="G4" s="7" t="str">
        <f>[5]Sheet!G4</f>
        <v>12,500</v>
      </c>
      <c r="H4" s="7" t="str">
        <f>[5]Sheet!H4</f>
        <v>12,250</v>
      </c>
      <c r="I4" s="7" t="str">
        <f>[5]Sheet!I4</f>
        <v>12,250</v>
      </c>
      <c r="J4" s="7" t="str">
        <f>[5]Sheet!J4</f>
        <v>12,250</v>
      </c>
      <c r="K4" s="7" t="str">
        <f>[5]Sheet!K4</f>
        <v>12,250</v>
      </c>
      <c r="L4" s="7" t="str">
        <f>[5]Sheet!L4</f>
        <v>12,250</v>
      </c>
      <c r="M4" s="7" t="str">
        <f>[5]Sheet!M4</f>
        <v>12,250</v>
      </c>
      <c r="N4" s="7" t="str">
        <f>[5]Sheet!N4</f>
        <v>12,250</v>
      </c>
      <c r="O4" s="7" t="str">
        <f>[5]Sheet!O4</f>
        <v>12,250</v>
      </c>
      <c r="P4" s="7" t="str">
        <f>[5]Sheet!P4</f>
        <v>12,250</v>
      </c>
      <c r="Q4" s="7" t="str">
        <f>[5]Sheet!Q4</f>
        <v>12,250</v>
      </c>
      <c r="R4" s="7" t="str">
        <f>[5]Sheet!R4</f>
        <v>12,250</v>
      </c>
      <c r="S4" s="7" t="str">
        <f>[5]Sheet!S4</f>
        <v>12,250</v>
      </c>
      <c r="T4" s="7" t="str">
        <f>[5]Sheet!T4</f>
        <v>12,500</v>
      </c>
      <c r="U4" s="7" t="str">
        <f>[5]Sheet!U4</f>
        <v>12,750</v>
      </c>
      <c r="V4" s="7" t="str">
        <f>[5]Sheet!V4</f>
        <v>12,750</v>
      </c>
      <c r="W4" s="7" t="str">
        <f>[5]Sheet!W4</f>
        <v>13,000</v>
      </c>
      <c r="X4" s="7" t="str">
        <f>[5]Sheet!X4</f>
        <v>13,000</v>
      </c>
      <c r="Y4" s="7" t="str">
        <f>[5]Sheet!Y4</f>
        <v>12,900</v>
      </c>
      <c r="Z4" s="7" t="str">
        <f>[5]Sheet!Z4</f>
        <v>12,900</v>
      </c>
    </row>
    <row r="5" spans="1:26" ht="15" customHeight="1" x14ac:dyDescent="0.25">
      <c r="A5" s="7" t="str">
        <f>[5]Sheet!A5</f>
        <v>3</v>
      </c>
      <c r="B5" s="7" t="str">
        <f>[5]Sheet!B5</f>
        <v>Beras Kualitas Medium I</v>
      </c>
      <c r="C5" s="7" t="str">
        <f>[5]Sheet!C5</f>
        <v>13,250</v>
      </c>
      <c r="D5" s="7" t="str">
        <f>[5]Sheet!D5</f>
        <v>13,750</v>
      </c>
      <c r="E5" s="7" t="str">
        <f>[5]Sheet!E5</f>
        <v>16,000</v>
      </c>
      <c r="F5" s="7" t="str">
        <f>[5]Sheet!F5</f>
        <v>14,900</v>
      </c>
      <c r="G5" s="7" t="str">
        <f>[5]Sheet!G5</f>
        <v>14,000</v>
      </c>
      <c r="H5" s="7" t="str">
        <f>[5]Sheet!H5</f>
        <v>13,800</v>
      </c>
      <c r="I5" s="7" t="str">
        <f>[5]Sheet!I5</f>
        <v>13,800</v>
      </c>
      <c r="J5" s="7" t="str">
        <f>[5]Sheet!J5</f>
        <v>13,800</v>
      </c>
      <c r="K5" s="7" t="str">
        <f>[5]Sheet!K5</f>
        <v>13,800</v>
      </c>
      <c r="L5" s="7" t="str">
        <f>[5]Sheet!L5</f>
        <v>13,800</v>
      </c>
      <c r="M5" s="7" t="str">
        <f>[5]Sheet!M5</f>
        <v>13,800</v>
      </c>
      <c r="N5" s="7" t="str">
        <f>[5]Sheet!N5</f>
        <v>13,800</v>
      </c>
      <c r="O5" s="7" t="str">
        <f>[5]Sheet!O5</f>
        <v>13,800</v>
      </c>
      <c r="P5" s="7" t="str">
        <f>[5]Sheet!P5</f>
        <v>13,800</v>
      </c>
      <c r="Q5" s="7" t="str">
        <f>[5]Sheet!Q5</f>
        <v>13,800</v>
      </c>
      <c r="R5" s="7" t="str">
        <f>[5]Sheet!R5</f>
        <v>13,800</v>
      </c>
      <c r="S5" s="7" t="str">
        <f>[5]Sheet!S5</f>
        <v>13,800</v>
      </c>
      <c r="T5" s="7" t="str">
        <f>[5]Sheet!T5</f>
        <v>14,050</v>
      </c>
      <c r="U5" s="7" t="str">
        <f>[5]Sheet!U5</f>
        <v>14,100</v>
      </c>
      <c r="V5" s="7" t="str">
        <f>[5]Sheet!V5</f>
        <v>14,100</v>
      </c>
      <c r="W5" s="7" t="str">
        <f>[5]Sheet!W5</f>
        <v>14,350</v>
      </c>
      <c r="X5" s="7" t="str">
        <f>[5]Sheet!X5</f>
        <v>14,350</v>
      </c>
      <c r="Y5" s="7" t="str">
        <f>[5]Sheet!Y5</f>
        <v>14,300</v>
      </c>
      <c r="Z5" s="7" t="str">
        <f>[5]Sheet!Z5</f>
        <v>14,300</v>
      </c>
    </row>
    <row r="6" spans="1:26" ht="13.5" customHeight="1" x14ac:dyDescent="0.25">
      <c r="A6" s="7" t="str">
        <f>[5]Sheet!A6</f>
        <v>4</v>
      </c>
      <c r="B6" s="7" t="str">
        <f>[5]Sheet!B6</f>
        <v>Beras Kualitas Medium II</v>
      </c>
      <c r="C6" s="7" t="str">
        <f>[5]Sheet!C6</f>
        <v>12,750</v>
      </c>
      <c r="D6" s="7" t="str">
        <f>[5]Sheet!D6</f>
        <v>13,400</v>
      </c>
      <c r="E6" s="7" t="str">
        <f>[5]Sheet!E6</f>
        <v>15,500</v>
      </c>
      <c r="F6" s="7" t="str">
        <f>[5]Sheet!F6</f>
        <v>14,450</v>
      </c>
      <c r="G6" s="7" t="str">
        <f>[5]Sheet!G6</f>
        <v>13,500</v>
      </c>
      <c r="H6" s="7" t="str">
        <f>[5]Sheet!H6</f>
        <v>13,400</v>
      </c>
      <c r="I6" s="7" t="str">
        <f>[5]Sheet!I6</f>
        <v>13,400</v>
      </c>
      <c r="J6" s="7" t="str">
        <f>[5]Sheet!J6</f>
        <v>13,400</v>
      </c>
      <c r="K6" s="7" t="str">
        <f>[5]Sheet!K6</f>
        <v>13,400</v>
      </c>
      <c r="L6" s="7" t="str">
        <f>[5]Sheet!L6</f>
        <v>13,400</v>
      </c>
      <c r="M6" s="7" t="str">
        <f>[5]Sheet!M6</f>
        <v>13,400</v>
      </c>
      <c r="N6" s="7" t="str">
        <f>[5]Sheet!N6</f>
        <v>13,400</v>
      </c>
      <c r="O6" s="7" t="str">
        <f>[5]Sheet!O6</f>
        <v>13,400</v>
      </c>
      <c r="P6" s="7" t="str">
        <f>[5]Sheet!P6</f>
        <v>13,400</v>
      </c>
      <c r="Q6" s="7" t="str">
        <f>[5]Sheet!Q6</f>
        <v>13,400</v>
      </c>
      <c r="R6" s="7" t="str">
        <f>[5]Sheet!R6</f>
        <v>13,400</v>
      </c>
      <c r="S6" s="7" t="str">
        <f>[5]Sheet!S6</f>
        <v>13,400</v>
      </c>
      <c r="T6" s="7" t="str">
        <f>[5]Sheet!T6</f>
        <v>13,650</v>
      </c>
      <c r="U6" s="7" t="str">
        <f>[5]Sheet!U6</f>
        <v>13,700</v>
      </c>
      <c r="V6" s="7" t="str">
        <f>[5]Sheet!V6</f>
        <v>13,700</v>
      </c>
      <c r="W6" s="7" t="str">
        <f>[5]Sheet!W6</f>
        <v>13,950</v>
      </c>
      <c r="X6" s="7" t="str">
        <f>[5]Sheet!X6</f>
        <v>13,950</v>
      </c>
      <c r="Y6" s="7" t="str">
        <f>[5]Sheet!Y6</f>
        <v>13,900</v>
      </c>
      <c r="Z6" s="7" t="str">
        <f>[5]Sheet!Z6</f>
        <v>13,900</v>
      </c>
    </row>
    <row r="7" spans="1:26" ht="15" customHeight="1" x14ac:dyDescent="0.25">
      <c r="A7" s="7" t="str">
        <f>[5]Sheet!A7</f>
        <v>5</v>
      </c>
      <c r="B7" s="7" t="str">
        <f>[5]Sheet!B7</f>
        <v>Beras Kualitas Super I</v>
      </c>
      <c r="C7" s="7" t="str">
        <f>[5]Sheet!C7</f>
        <v>14,250</v>
      </c>
      <c r="D7" s="7" t="str">
        <f>[5]Sheet!D7</f>
        <v>14,850</v>
      </c>
      <c r="E7" s="7" t="str">
        <f>[5]Sheet!E7</f>
        <v>16,950</v>
      </c>
      <c r="F7" s="7" t="str">
        <f>[5]Sheet!F7</f>
        <v>15,800</v>
      </c>
      <c r="G7" s="7" t="str">
        <f>[5]Sheet!G7</f>
        <v>15,000</v>
      </c>
      <c r="H7" s="7" t="str">
        <f>[5]Sheet!H7</f>
        <v>14,750</v>
      </c>
      <c r="I7" s="7" t="str">
        <f>[5]Sheet!I7</f>
        <v>14,750</v>
      </c>
      <c r="J7" s="7" t="str">
        <f>[5]Sheet!J7</f>
        <v>14,750</v>
      </c>
      <c r="K7" s="7" t="str">
        <f>[5]Sheet!K7</f>
        <v>14,750</v>
      </c>
      <c r="L7" s="7" t="str">
        <f>[5]Sheet!L7</f>
        <v>14,750</v>
      </c>
      <c r="M7" s="7" t="str">
        <f>[5]Sheet!M7</f>
        <v>14,750</v>
      </c>
      <c r="N7" s="7" t="str">
        <f>[5]Sheet!N7</f>
        <v>14,750</v>
      </c>
      <c r="O7" s="7" t="str">
        <f>[5]Sheet!O7</f>
        <v>14,750</v>
      </c>
      <c r="P7" s="7" t="str">
        <f>[5]Sheet!P7</f>
        <v>14,750</v>
      </c>
      <c r="Q7" s="7" t="str">
        <f>[5]Sheet!Q7</f>
        <v>14,750</v>
      </c>
      <c r="R7" s="7" t="str">
        <f>[5]Sheet!R7</f>
        <v>14,750</v>
      </c>
      <c r="S7" s="7" t="str">
        <f>[5]Sheet!S7</f>
        <v>14,750</v>
      </c>
      <c r="T7" s="7" t="str">
        <f>[5]Sheet!T7</f>
        <v>15,000</v>
      </c>
      <c r="U7" s="7" t="str">
        <f>[5]Sheet!U7</f>
        <v>15,000</v>
      </c>
      <c r="V7" s="7" t="str">
        <f>[5]Sheet!V7</f>
        <v>15,000</v>
      </c>
      <c r="W7" s="7" t="str">
        <f>[5]Sheet!W7</f>
        <v>15,250</v>
      </c>
      <c r="X7" s="7" t="str">
        <f>[5]Sheet!X7</f>
        <v>15,250</v>
      </c>
      <c r="Y7" s="7" t="str">
        <f>[5]Sheet!Y7</f>
        <v>15,050</v>
      </c>
      <c r="Z7" s="7" t="str">
        <f>[5]Sheet!Z7</f>
        <v>15,050</v>
      </c>
    </row>
    <row r="8" spans="1:26" ht="14.25" customHeight="1" x14ac:dyDescent="0.25">
      <c r="A8" s="7" t="str">
        <f>[5]Sheet!A8</f>
        <v>6</v>
      </c>
      <c r="B8" s="7" t="str">
        <f>[5]Sheet!B8</f>
        <v>Beras Kualitas Super II</v>
      </c>
      <c r="C8" s="7" t="str">
        <f>[5]Sheet!C8</f>
        <v>13,750</v>
      </c>
      <c r="D8" s="7" t="str">
        <f>[5]Sheet!D8</f>
        <v>14,350</v>
      </c>
      <c r="E8" s="7" t="str">
        <f>[5]Sheet!E8</f>
        <v>16,500</v>
      </c>
      <c r="F8" s="7" t="str">
        <f>[5]Sheet!F8</f>
        <v>15,400</v>
      </c>
      <c r="G8" s="7" t="str">
        <f>[5]Sheet!G8</f>
        <v>14,500</v>
      </c>
      <c r="H8" s="7" t="str">
        <f>[5]Sheet!H8</f>
        <v>14,250</v>
      </c>
      <c r="I8" s="7" t="str">
        <f>[5]Sheet!I8</f>
        <v>14,250</v>
      </c>
      <c r="J8" s="7" t="str">
        <f>[5]Sheet!J8</f>
        <v>14,150</v>
      </c>
      <c r="K8" s="7" t="str">
        <f>[5]Sheet!K8</f>
        <v>14,300</v>
      </c>
      <c r="L8" s="7" t="str">
        <f>[5]Sheet!L8</f>
        <v>14,300</v>
      </c>
      <c r="M8" s="7" t="str">
        <f>[5]Sheet!M8</f>
        <v>14,300</v>
      </c>
      <c r="N8" s="7" t="str">
        <f>[5]Sheet!N8</f>
        <v>14,300</v>
      </c>
      <c r="O8" s="7" t="str">
        <f>[5]Sheet!O8</f>
        <v>14,300</v>
      </c>
      <c r="P8" s="7" t="str">
        <f>[5]Sheet!P8</f>
        <v>14,300</v>
      </c>
      <c r="Q8" s="7" t="str">
        <f>[5]Sheet!Q8</f>
        <v>14,300</v>
      </c>
      <c r="R8" s="7" t="str">
        <f>[5]Sheet!R8</f>
        <v>14,300</v>
      </c>
      <c r="S8" s="7" t="str">
        <f>[5]Sheet!S8</f>
        <v>14,300</v>
      </c>
      <c r="T8" s="7" t="str">
        <f>[5]Sheet!T8</f>
        <v>14,550</v>
      </c>
      <c r="U8" s="7" t="str">
        <f>[5]Sheet!U8</f>
        <v>14,550</v>
      </c>
      <c r="V8" s="7" t="str">
        <f>[5]Sheet!V8</f>
        <v>14,550</v>
      </c>
      <c r="W8" s="7" t="str">
        <f>[5]Sheet!W8</f>
        <v>14,800</v>
      </c>
      <c r="X8" s="7" t="str">
        <f>[5]Sheet!X8</f>
        <v>14,800</v>
      </c>
      <c r="Y8" s="7" t="str">
        <f>[5]Sheet!Y8</f>
        <v>14,650</v>
      </c>
      <c r="Z8" s="7" t="str">
        <f>[5]Sheet!Z8</f>
        <v>14,650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7E2D-6155-4A48-9384-BD842CA4C0BF}">
  <dimension ref="A1:Z8"/>
  <sheetViews>
    <sheetView tabSelected="1" workbookViewId="0">
      <selection activeCell="E17" sqref="E17"/>
    </sheetView>
  </sheetViews>
  <sheetFormatPr defaultRowHeight="15" x14ac:dyDescent="0.25"/>
  <cols>
    <col min="1" max="1" width="8" customWidth="1"/>
    <col min="2" max="2" width="24.28515625" customWidth="1"/>
  </cols>
  <sheetData>
    <row r="1" spans="1:26" ht="30" x14ac:dyDescent="0.25">
      <c r="A1" s="7" t="str">
        <f>[6]Sheet!A1</f>
        <v>No</v>
      </c>
      <c r="B1" s="7" t="str">
        <f>[6]Sheet!B1</f>
        <v>Komoditas (Rp)</v>
      </c>
      <c r="C1" s="7" t="str">
        <f>[6]Sheet!C1</f>
        <v>01/ 01/ 2024</v>
      </c>
      <c r="D1" s="7" t="str">
        <f>[6]Sheet!D1</f>
        <v>01/ 02/ 2024</v>
      </c>
      <c r="E1" s="7" t="str">
        <f>[6]Sheet!E1</f>
        <v>01/ 03/ 2024</v>
      </c>
      <c r="F1" s="7" t="str">
        <f>[6]Sheet!F1</f>
        <v>01/ 04/ 2024</v>
      </c>
      <c r="G1" s="7" t="str">
        <f>[6]Sheet!G1</f>
        <v>01/ 05/ 2024</v>
      </c>
      <c r="H1" s="7" t="str">
        <f>[6]Sheet!H1</f>
        <v>03/ 06/ 2024</v>
      </c>
      <c r="I1" s="7" t="str">
        <f>[6]Sheet!I1</f>
        <v>01/ 07/ 2024</v>
      </c>
      <c r="J1" s="7" t="str">
        <f>[6]Sheet!J1</f>
        <v>01/ 08/ 2024</v>
      </c>
      <c r="K1" s="7" t="str">
        <f>[6]Sheet!K1</f>
        <v>02/ 09/ 2024</v>
      </c>
      <c r="L1" s="7" t="str">
        <f>[6]Sheet!L1</f>
        <v>01/ 10/ 2024</v>
      </c>
      <c r="M1" s="7" t="str">
        <f>[6]Sheet!M1</f>
        <v>01/ 11/ 2024</v>
      </c>
      <c r="N1" s="7" t="str">
        <f>[6]Sheet!N1</f>
        <v>02/ 12/ 2024</v>
      </c>
      <c r="O1" s="7" t="str">
        <f>[6]Sheet!O1</f>
        <v>01/ 01/ 2025</v>
      </c>
      <c r="P1" s="7" t="str">
        <f>[6]Sheet!P1</f>
        <v>03/ 02/ 2025</v>
      </c>
      <c r="Q1" s="7" t="str">
        <f>[6]Sheet!Q1</f>
        <v>03/ 03/ 2025</v>
      </c>
      <c r="R1" s="7" t="str">
        <f>[6]Sheet!R1</f>
        <v>01/ 04/ 2025</v>
      </c>
      <c r="S1" s="7" t="str">
        <f>[6]Sheet!S1</f>
        <v>01/ 05/ 2025</v>
      </c>
      <c r="T1" s="7" t="str">
        <f>[6]Sheet!T1</f>
        <v>02/ 06/ 2025</v>
      </c>
      <c r="U1" s="7" t="str">
        <f>[6]Sheet!U1</f>
        <v>01/ 07/ 2025</v>
      </c>
      <c r="V1" s="7" t="str">
        <f>[6]Sheet!V1</f>
        <v>01/ 08/ 2025</v>
      </c>
      <c r="W1" s="7" t="str">
        <f>[6]Sheet!W1</f>
        <v>01/ 09/ 2025</v>
      </c>
      <c r="X1" s="7" t="str">
        <f>[6]Sheet!X1</f>
        <v>01/ 10/ 2025</v>
      </c>
      <c r="Y1" s="7" t="str">
        <f>[6]Sheet!Y1</f>
        <v>03/ 11/ 2025</v>
      </c>
      <c r="Z1" s="7" t="str">
        <f>[6]Sheet!Z1</f>
        <v>01/ 12/ 2025</v>
      </c>
    </row>
    <row r="2" spans="1:26" x14ac:dyDescent="0.25">
      <c r="A2" s="7" t="str">
        <f>[6]Sheet!A2</f>
        <v>I</v>
      </c>
      <c r="B2" s="7" t="str">
        <f>[6]Sheet!B2</f>
        <v>Beras</v>
      </c>
      <c r="C2" s="7" t="str">
        <f>[6]Sheet!C2</f>
        <v>13,950</v>
      </c>
      <c r="D2" s="7" t="str">
        <f>[6]Sheet!D2</f>
        <v>15,000</v>
      </c>
      <c r="E2" s="7" t="str">
        <f>[6]Sheet!E2</f>
        <v>16,400</v>
      </c>
      <c r="F2" s="7" t="str">
        <f>[6]Sheet!F2</f>
        <v>16,000</v>
      </c>
      <c r="G2" s="7" t="str">
        <f>[6]Sheet!G2</f>
        <v>14,750</v>
      </c>
      <c r="H2" s="7" t="str">
        <f>[6]Sheet!H2</f>
        <v>13,950</v>
      </c>
      <c r="I2" s="7" t="str">
        <f>[6]Sheet!I2</f>
        <v>14,400</v>
      </c>
      <c r="J2" s="7" t="str">
        <f>[6]Sheet!J2</f>
        <v>14,450</v>
      </c>
      <c r="K2" s="7" t="str">
        <f>[6]Sheet!K2</f>
        <v>14,300</v>
      </c>
      <c r="L2" s="7" t="str">
        <f>[6]Sheet!L2</f>
        <v>14,300</v>
      </c>
      <c r="M2" s="7" t="str">
        <f>[6]Sheet!M2</f>
        <v>14,250</v>
      </c>
      <c r="N2" s="7" t="str">
        <f>[6]Sheet!N2</f>
        <v>14,350</v>
      </c>
      <c r="O2" s="7" t="str">
        <f>[6]Sheet!O2</f>
        <v>-</v>
      </c>
      <c r="P2" s="7" t="str">
        <f>[6]Sheet!P2</f>
        <v>14,450</v>
      </c>
      <c r="Q2" s="7" t="str">
        <f>[6]Sheet!Q2</f>
        <v>14,350</v>
      </c>
      <c r="R2" s="7" t="str">
        <f>[6]Sheet!R2</f>
        <v>14,350</v>
      </c>
      <c r="S2" s="7" t="str">
        <f>[6]Sheet!S2</f>
        <v>14,350</v>
      </c>
      <c r="T2" s="7" t="str">
        <f>[6]Sheet!T2</f>
        <v>14,350</v>
      </c>
      <c r="U2" s="7" t="str">
        <f>[6]Sheet!U2</f>
        <v>14,600</v>
      </c>
      <c r="V2" s="7" t="str">
        <f>[6]Sheet!V2</f>
        <v>14,600</v>
      </c>
      <c r="W2" s="7" t="str">
        <f>[6]Sheet!W2</f>
        <v>14,600</v>
      </c>
      <c r="X2" s="7" t="str">
        <f>[6]Sheet!X2</f>
        <v>14,600</v>
      </c>
      <c r="Y2" s="7" t="str">
        <f>[6]Sheet!Y2</f>
        <v>14,600</v>
      </c>
      <c r="Z2" s="7" t="str">
        <f>[6]Sheet!Z2</f>
        <v>14,600</v>
      </c>
    </row>
    <row r="3" spans="1:26" ht="13.5" customHeight="1" x14ac:dyDescent="0.25">
      <c r="A3" s="7" t="str">
        <f>[6]Sheet!A3</f>
        <v>1</v>
      </c>
      <c r="B3" s="7" t="str">
        <f>[6]Sheet!B3</f>
        <v>Beras Kualitas Bawah I</v>
      </c>
      <c r="C3" s="7" t="str">
        <f>[6]Sheet!C3</f>
        <v>13,400</v>
      </c>
      <c r="D3" s="7" t="str">
        <f>[6]Sheet!D3</f>
        <v>14,500</v>
      </c>
      <c r="E3" s="7" t="str">
        <f>[6]Sheet!E3</f>
        <v>15,900</v>
      </c>
      <c r="F3" s="7" t="str">
        <f>[6]Sheet!F3</f>
        <v>15,250</v>
      </c>
      <c r="G3" s="7" t="str">
        <f>[6]Sheet!G3</f>
        <v>13,900</v>
      </c>
      <c r="H3" s="7" t="str">
        <f>[6]Sheet!H3</f>
        <v>13,150</v>
      </c>
      <c r="I3" s="7" t="str">
        <f>[6]Sheet!I3</f>
        <v>13,650</v>
      </c>
      <c r="J3" s="7" t="str">
        <f>[6]Sheet!J3</f>
        <v>13,650</v>
      </c>
      <c r="K3" s="7" t="str">
        <f>[6]Sheet!K3</f>
        <v>13,500</v>
      </c>
      <c r="L3" s="7" t="str">
        <f>[6]Sheet!L3</f>
        <v>13,500</v>
      </c>
      <c r="M3" s="7" t="str">
        <f>[6]Sheet!M3</f>
        <v>13,500</v>
      </c>
      <c r="N3" s="7" t="str">
        <f>[6]Sheet!N3</f>
        <v>13,500</v>
      </c>
      <c r="O3" s="7" t="str">
        <f>[6]Sheet!O3</f>
        <v>-</v>
      </c>
      <c r="P3" s="7" t="str">
        <f>[6]Sheet!P3</f>
        <v>13,650</v>
      </c>
      <c r="Q3" s="7" t="str">
        <f>[6]Sheet!Q3</f>
        <v>13,500</v>
      </c>
      <c r="R3" s="7" t="str">
        <f>[6]Sheet!R3</f>
        <v>13,500</v>
      </c>
      <c r="S3" s="7" t="str">
        <f>[6]Sheet!S3</f>
        <v>13,500</v>
      </c>
      <c r="T3" s="7" t="str">
        <f>[6]Sheet!T3</f>
        <v>13,500</v>
      </c>
      <c r="U3" s="7" t="str">
        <f>[6]Sheet!U3</f>
        <v>13,750</v>
      </c>
      <c r="V3" s="7" t="str">
        <f>[6]Sheet!V3</f>
        <v>13,750</v>
      </c>
      <c r="W3" s="7" t="str">
        <f>[6]Sheet!W3</f>
        <v>13,750</v>
      </c>
      <c r="X3" s="7" t="str">
        <f>[6]Sheet!X3</f>
        <v>13,750</v>
      </c>
      <c r="Y3" s="7" t="str">
        <f>[6]Sheet!Y3</f>
        <v>13,750</v>
      </c>
      <c r="Z3" s="7" t="str">
        <f>[6]Sheet!Z3</f>
        <v>13,750</v>
      </c>
    </row>
    <row r="4" spans="1:26" ht="15" customHeight="1" x14ac:dyDescent="0.25">
      <c r="A4" s="7" t="str">
        <f>[6]Sheet!A4</f>
        <v>2</v>
      </c>
      <c r="B4" s="7" t="str">
        <f>[6]Sheet!B4</f>
        <v>Beras Kualitas Bawah II</v>
      </c>
      <c r="C4" s="7" t="str">
        <f>[6]Sheet!C4</f>
        <v>13,250</v>
      </c>
      <c r="D4" s="7" t="str">
        <f>[6]Sheet!D4</f>
        <v>14,150</v>
      </c>
      <c r="E4" s="7" t="str">
        <f>[6]Sheet!E4</f>
        <v>15,650</v>
      </c>
      <c r="F4" s="7" t="str">
        <f>[6]Sheet!F4</f>
        <v>14,750</v>
      </c>
      <c r="G4" s="7" t="str">
        <f>[6]Sheet!G4</f>
        <v>13,500</v>
      </c>
      <c r="H4" s="7" t="str">
        <f>[6]Sheet!H4</f>
        <v>12,500</v>
      </c>
      <c r="I4" s="7" t="str">
        <f>[6]Sheet!I4</f>
        <v>13,150</v>
      </c>
      <c r="J4" s="7" t="str">
        <f>[6]Sheet!J4</f>
        <v>13,250</v>
      </c>
      <c r="K4" s="7" t="str">
        <f>[6]Sheet!K4</f>
        <v>12,900</v>
      </c>
      <c r="L4" s="7" t="str">
        <f>[6]Sheet!L4</f>
        <v>13,000</v>
      </c>
      <c r="M4" s="7" t="str">
        <f>[6]Sheet!M4</f>
        <v>12,750</v>
      </c>
      <c r="N4" s="7" t="str">
        <f>[6]Sheet!N4</f>
        <v>12,750</v>
      </c>
      <c r="O4" s="7" t="str">
        <f>[6]Sheet!O4</f>
        <v>-</v>
      </c>
      <c r="P4" s="7" t="str">
        <f>[6]Sheet!P4</f>
        <v>13,150</v>
      </c>
      <c r="Q4" s="7" t="str">
        <f>[6]Sheet!Q4</f>
        <v>13,000</v>
      </c>
      <c r="R4" s="7" t="str">
        <f>[6]Sheet!R4</f>
        <v>13,000</v>
      </c>
      <c r="S4" s="7" t="str">
        <f>[6]Sheet!S4</f>
        <v>13,000</v>
      </c>
      <c r="T4" s="7" t="str">
        <f>[6]Sheet!T4</f>
        <v>13,000</v>
      </c>
      <c r="U4" s="7" t="str">
        <f>[6]Sheet!U4</f>
        <v>13,250</v>
      </c>
      <c r="V4" s="7" t="str">
        <f>[6]Sheet!V4</f>
        <v>13,250</v>
      </c>
      <c r="W4" s="7" t="str">
        <f>[6]Sheet!W4</f>
        <v>13,250</v>
      </c>
      <c r="X4" s="7" t="str">
        <f>[6]Sheet!X4</f>
        <v>13,250</v>
      </c>
      <c r="Y4" s="7" t="str">
        <f>[6]Sheet!Y4</f>
        <v>13,250</v>
      </c>
      <c r="Z4" s="7" t="str">
        <f>[6]Sheet!Z4</f>
        <v>13,250</v>
      </c>
    </row>
    <row r="5" spans="1:26" ht="13.5" customHeight="1" x14ac:dyDescent="0.25">
      <c r="A5" s="7" t="str">
        <f>[6]Sheet!A5</f>
        <v>3</v>
      </c>
      <c r="B5" s="7" t="str">
        <f>[6]Sheet!B5</f>
        <v>Beras Kualitas Medium I</v>
      </c>
      <c r="C5" s="7" t="str">
        <f>[6]Sheet!C5</f>
        <v>14,250</v>
      </c>
      <c r="D5" s="7" t="str">
        <f>[6]Sheet!D5</f>
        <v>15,150</v>
      </c>
      <c r="E5" s="7" t="str">
        <f>[6]Sheet!E5</f>
        <v>16,500</v>
      </c>
      <c r="F5" s="7" t="str">
        <f>[6]Sheet!F5</f>
        <v>16,150</v>
      </c>
      <c r="G5" s="7" t="str">
        <f>[6]Sheet!G5</f>
        <v>14,900</v>
      </c>
      <c r="H5" s="7" t="str">
        <f>[6]Sheet!H5</f>
        <v>14,150</v>
      </c>
      <c r="I5" s="7" t="str">
        <f>[6]Sheet!I5</f>
        <v>14,650</v>
      </c>
      <c r="J5" s="7" t="str">
        <f>[6]Sheet!J5</f>
        <v>14,650</v>
      </c>
      <c r="K5" s="7" t="str">
        <f>[6]Sheet!K5</f>
        <v>14,500</v>
      </c>
      <c r="L5" s="7" t="str">
        <f>[6]Sheet!L5</f>
        <v>14,500</v>
      </c>
      <c r="M5" s="7" t="str">
        <f>[6]Sheet!M5</f>
        <v>14,500</v>
      </c>
      <c r="N5" s="7" t="str">
        <f>[6]Sheet!N5</f>
        <v>14,500</v>
      </c>
      <c r="O5" s="7" t="str">
        <f>[6]Sheet!O5</f>
        <v>-</v>
      </c>
      <c r="P5" s="7" t="str">
        <f>[6]Sheet!P5</f>
        <v>14,650</v>
      </c>
      <c r="Q5" s="7" t="str">
        <f>[6]Sheet!Q5</f>
        <v>14,500</v>
      </c>
      <c r="R5" s="7" t="str">
        <f>[6]Sheet!R5</f>
        <v>14,500</v>
      </c>
      <c r="S5" s="7" t="str">
        <f>[6]Sheet!S5</f>
        <v>14,500</v>
      </c>
      <c r="T5" s="7" t="str">
        <f>[6]Sheet!T5</f>
        <v>14,500</v>
      </c>
      <c r="U5" s="7" t="str">
        <f>[6]Sheet!U5</f>
        <v>14,750</v>
      </c>
      <c r="V5" s="7" t="str">
        <f>[6]Sheet!V5</f>
        <v>14,750</v>
      </c>
      <c r="W5" s="7" t="str">
        <f>[6]Sheet!W5</f>
        <v>14,750</v>
      </c>
      <c r="X5" s="7" t="str">
        <f>[6]Sheet!X5</f>
        <v>14,750</v>
      </c>
      <c r="Y5" s="7" t="str">
        <f>[6]Sheet!Y5</f>
        <v>14,750</v>
      </c>
      <c r="Z5" s="7" t="str">
        <f>[6]Sheet!Z5</f>
        <v>14,750</v>
      </c>
    </row>
    <row r="6" spans="1:26" ht="13.5" customHeight="1" x14ac:dyDescent="0.25">
      <c r="A6" s="7" t="str">
        <f>[6]Sheet!A6</f>
        <v>4</v>
      </c>
      <c r="B6" s="7" t="str">
        <f>[6]Sheet!B6</f>
        <v>Beras Kualitas Medium II</v>
      </c>
      <c r="C6" s="7" t="str">
        <f>[6]Sheet!C6</f>
        <v>13,650</v>
      </c>
      <c r="D6" s="7" t="str">
        <f>[6]Sheet!D6</f>
        <v>14,750</v>
      </c>
      <c r="E6" s="7" t="str">
        <f>[6]Sheet!E6</f>
        <v>16,250</v>
      </c>
      <c r="F6" s="7" t="str">
        <f>[6]Sheet!F6</f>
        <v>15,750</v>
      </c>
      <c r="G6" s="7" t="str">
        <f>[6]Sheet!G6</f>
        <v>14,250</v>
      </c>
      <c r="H6" s="7" t="str">
        <f>[6]Sheet!H6</f>
        <v>13,650</v>
      </c>
      <c r="I6" s="7" t="str">
        <f>[6]Sheet!I6</f>
        <v>14,150</v>
      </c>
      <c r="J6" s="7" t="str">
        <f>[6]Sheet!J6</f>
        <v>14,150</v>
      </c>
      <c r="K6" s="7" t="str">
        <f>[6]Sheet!K6</f>
        <v>14,000</v>
      </c>
      <c r="L6" s="7" t="str">
        <f>[6]Sheet!L6</f>
        <v>14,000</v>
      </c>
      <c r="M6" s="7" t="str">
        <f>[6]Sheet!M6</f>
        <v>14,000</v>
      </c>
      <c r="N6" s="7" t="str">
        <f>[6]Sheet!N6</f>
        <v>14,000</v>
      </c>
      <c r="O6" s="7" t="str">
        <f>[6]Sheet!O6</f>
        <v>-</v>
      </c>
      <c r="P6" s="7" t="str">
        <f>[6]Sheet!P6</f>
        <v>14,150</v>
      </c>
      <c r="Q6" s="7" t="str">
        <f>[6]Sheet!Q6</f>
        <v>14,000</v>
      </c>
      <c r="R6" s="7" t="str">
        <f>[6]Sheet!R6</f>
        <v>14,000</v>
      </c>
      <c r="S6" s="7" t="str">
        <f>[6]Sheet!S6</f>
        <v>14,000</v>
      </c>
      <c r="T6" s="7" t="str">
        <f>[6]Sheet!T6</f>
        <v>14,000</v>
      </c>
      <c r="U6" s="7" t="str">
        <f>[6]Sheet!U6</f>
        <v>14,250</v>
      </c>
      <c r="V6" s="7" t="str">
        <f>[6]Sheet!V6</f>
        <v>14,250</v>
      </c>
      <c r="W6" s="7" t="str">
        <f>[6]Sheet!W6</f>
        <v>14,250</v>
      </c>
      <c r="X6" s="7" t="str">
        <f>[6]Sheet!X6</f>
        <v>14,250</v>
      </c>
      <c r="Y6" s="7" t="str">
        <f>[6]Sheet!Y6</f>
        <v>14,250</v>
      </c>
      <c r="Z6" s="7" t="str">
        <f>[6]Sheet!Z6</f>
        <v>14,250</v>
      </c>
    </row>
    <row r="7" spans="1:26" ht="12.75" customHeight="1" x14ac:dyDescent="0.25">
      <c r="A7" s="7" t="str">
        <f>[6]Sheet!A7</f>
        <v>5</v>
      </c>
      <c r="B7" s="7" t="str">
        <f>[6]Sheet!B7</f>
        <v>Beras Kualitas Super I</v>
      </c>
      <c r="C7" s="7" t="str">
        <f>[6]Sheet!C7</f>
        <v>14,750</v>
      </c>
      <c r="D7" s="7" t="str">
        <f>[6]Sheet!D7</f>
        <v>15,900</v>
      </c>
      <c r="E7" s="7" t="str">
        <f>[6]Sheet!E7</f>
        <v>17,400</v>
      </c>
      <c r="F7" s="7" t="str">
        <f>[6]Sheet!F7</f>
        <v>17,250</v>
      </c>
      <c r="G7" s="7" t="str">
        <f>[6]Sheet!G7</f>
        <v>16,250</v>
      </c>
      <c r="H7" s="7" t="str">
        <f>[6]Sheet!H7</f>
        <v>15,500</v>
      </c>
      <c r="I7" s="7" t="str">
        <f>[6]Sheet!I7</f>
        <v>15,750</v>
      </c>
      <c r="J7" s="7" t="str">
        <f>[6]Sheet!J7</f>
        <v>15,750</v>
      </c>
      <c r="K7" s="7" t="str">
        <f>[6]Sheet!K7</f>
        <v>15,900</v>
      </c>
      <c r="L7" s="7" t="str">
        <f>[6]Sheet!L7</f>
        <v>15,750</v>
      </c>
      <c r="M7" s="7" t="str">
        <f>[6]Sheet!M7</f>
        <v>15,750</v>
      </c>
      <c r="N7" s="7" t="str">
        <f>[6]Sheet!N7</f>
        <v>15,900</v>
      </c>
      <c r="O7" s="7" t="str">
        <f>[6]Sheet!O7</f>
        <v>-</v>
      </c>
      <c r="P7" s="7" t="str">
        <f>[6]Sheet!P7</f>
        <v>16,000</v>
      </c>
      <c r="Q7" s="7" t="str">
        <f>[6]Sheet!Q7</f>
        <v>16,000</v>
      </c>
      <c r="R7" s="7" t="str">
        <f>[6]Sheet!R7</f>
        <v>16,000</v>
      </c>
      <c r="S7" s="7" t="str">
        <f>[6]Sheet!S7</f>
        <v>16,000</v>
      </c>
      <c r="T7" s="7" t="str">
        <f>[6]Sheet!T7</f>
        <v>16,000</v>
      </c>
      <c r="U7" s="7" t="str">
        <f>[6]Sheet!U7</f>
        <v>16,150</v>
      </c>
      <c r="V7" s="7" t="str">
        <f>[6]Sheet!V7</f>
        <v>16,150</v>
      </c>
      <c r="W7" s="7" t="str">
        <f>[6]Sheet!W7</f>
        <v>16,150</v>
      </c>
      <c r="X7" s="7" t="str">
        <f>[6]Sheet!X7</f>
        <v>16,150</v>
      </c>
      <c r="Y7" s="7" t="str">
        <f>[6]Sheet!Y7</f>
        <v>16,150</v>
      </c>
      <c r="Z7" s="7" t="str">
        <f>[6]Sheet!Z7</f>
        <v>16,150</v>
      </c>
    </row>
    <row r="8" spans="1:26" ht="15.75" customHeight="1" x14ac:dyDescent="0.25">
      <c r="A8" s="7" t="str">
        <f>[6]Sheet!A8</f>
        <v>6</v>
      </c>
      <c r="B8" s="7" t="str">
        <f>[6]Sheet!B8</f>
        <v>Beras Kualitas Super II</v>
      </c>
      <c r="C8" s="7" t="str">
        <f>[6]Sheet!C8</f>
        <v>14,250</v>
      </c>
      <c r="D8" s="7" t="str">
        <f>[6]Sheet!D8</f>
        <v>15,400</v>
      </c>
      <c r="E8" s="7" t="str">
        <f>[6]Sheet!E8</f>
        <v>16,750</v>
      </c>
      <c r="F8" s="7" t="str">
        <f>[6]Sheet!F8</f>
        <v>16,750</v>
      </c>
      <c r="G8" s="7" t="str">
        <f>[6]Sheet!G8</f>
        <v>15,650</v>
      </c>
      <c r="H8" s="7" t="str">
        <f>[6]Sheet!H8</f>
        <v>14,650</v>
      </c>
      <c r="I8" s="7" t="str">
        <f>[6]Sheet!I8</f>
        <v>15,150</v>
      </c>
      <c r="J8" s="7" t="str">
        <f>[6]Sheet!J8</f>
        <v>15,150</v>
      </c>
      <c r="K8" s="7" t="str">
        <f>[6]Sheet!K8</f>
        <v>14,900</v>
      </c>
      <c r="L8" s="7" t="str">
        <f>[6]Sheet!L8</f>
        <v>15,000</v>
      </c>
      <c r="M8" s="7" t="str">
        <f>[6]Sheet!M8</f>
        <v>15,000</v>
      </c>
      <c r="N8" s="7" t="str">
        <f>[6]Sheet!N8</f>
        <v>15,250</v>
      </c>
      <c r="O8" s="7" t="str">
        <f>[6]Sheet!O8</f>
        <v>-</v>
      </c>
      <c r="P8" s="7" t="str">
        <f>[6]Sheet!P8</f>
        <v>15,150</v>
      </c>
      <c r="Q8" s="7" t="str">
        <f>[6]Sheet!Q8</f>
        <v>15,150</v>
      </c>
      <c r="R8" s="7" t="str">
        <f>[6]Sheet!R8</f>
        <v>15,150</v>
      </c>
      <c r="S8" s="7" t="str">
        <f>[6]Sheet!S8</f>
        <v>15,150</v>
      </c>
      <c r="T8" s="7" t="str">
        <f>[6]Sheet!T8</f>
        <v>15,150</v>
      </c>
      <c r="U8" s="7" t="str">
        <f>[6]Sheet!U8</f>
        <v>15,400</v>
      </c>
      <c r="V8" s="7" t="str">
        <f>[6]Sheet!V8</f>
        <v>15,400</v>
      </c>
      <c r="W8" s="7" t="str">
        <f>[6]Sheet!W8</f>
        <v>15,400</v>
      </c>
      <c r="X8" s="7" t="str">
        <f>[6]Sheet!X8</f>
        <v>15,400</v>
      </c>
      <c r="Y8" s="7" t="str">
        <f>[6]Sheet!Y8</f>
        <v>15,400</v>
      </c>
      <c r="Z8" s="7" t="str">
        <f>[6]Sheet!Z8</f>
        <v>15,400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Kota Bandung</vt:lpstr>
      <vt:lpstr>kota bekasi</vt:lpstr>
      <vt:lpstr>kota bogor</vt:lpstr>
      <vt:lpstr>kota cirebon</vt:lpstr>
      <vt:lpstr>kota depok</vt:lpstr>
      <vt:lpstr>kota sukabumi</vt:lpstr>
      <vt:lpstr>kota tasikmalaya</vt:lpstr>
      <vt:lpstr>'Kota Bandung'!_FilterDatabase</vt:lpstr>
      <vt:lpstr>'Kota Bandung'!Print_Titles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 T450</dc:creator>
  <cp:lastModifiedBy>Lenovo Thinkpad T450</cp:lastModifiedBy>
  <dcterms:created xsi:type="dcterms:W3CDTF">2026-06-11T18:12:00Z</dcterms:created>
  <dcterms:modified xsi:type="dcterms:W3CDTF">2026-06-11T18:12:00Z</dcterms:modified>
</cp:coreProperties>
</file>